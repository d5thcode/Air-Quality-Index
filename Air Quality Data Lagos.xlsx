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b1ba9af82165c5/Documents/"/>
    </mc:Choice>
  </mc:AlternateContent>
  <xr:revisionPtr revIDLastSave="1536" documentId="8_{70690F60-C3CD-47D4-9A74-CE5F62B2F3DD}" xr6:coauthVersionLast="47" xr6:coauthVersionMax="47" xr10:uidLastSave="{178C7BB8-4076-44D9-8C80-3C96875F18BA}"/>
  <bookViews>
    <workbookView xWindow="-108" yWindow="-108" windowWidth="23256" windowHeight="12456" activeTab="2" xr2:uid="{EC10DF31-054A-47F6-B608-9D799DD15290}"/>
  </bookViews>
  <sheets>
    <sheet name="Analysis" sheetId="4" r:id="rId1"/>
    <sheet name="Air Quality Data Lagos" sheetId="1" r:id="rId2"/>
    <sheet name="Sheet1" sheetId="7" r:id="rId3"/>
    <sheet name="DASHBOARD" sheetId="5" r:id="rId4"/>
    <sheet name="1st Dashboard" sheetId="6" r:id="rId5"/>
  </sheets>
  <definedNames>
    <definedName name="_xlnm._FilterDatabase" localSheetId="1" hidden="1">'Air Quality Data Lagos'!$A$1:$I$666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1" i="1" l="1"/>
  <c r="I29" i="4" a="1"/>
  <c r="I29" i="4" s="1"/>
  <c r="I28" i="4"/>
  <c r="I25" i="4"/>
  <c r="I26" i="4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K2" i="1"/>
  <c r="I2" i="1"/>
  <c r="J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J633" i="1" s="1"/>
  <c r="I634" i="1"/>
  <c r="J634" i="1" s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2" i="1"/>
  <c r="J3" i="1" l="1"/>
  <c r="L2" i="1"/>
  <c r="M2" i="1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2" i="1"/>
  <c r="J635" i="1"/>
  <c r="J636" i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H3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<sst xmlns="http://schemas.openxmlformats.org/spreadsheetml/2006/main" count="72" uniqueCount="62">
  <si>
    <t>date</t>
  </si>
  <si>
    <t>year</t>
  </si>
  <si>
    <t>month</t>
  </si>
  <si>
    <t>month_no</t>
  </si>
  <si>
    <t>month/year</t>
  </si>
  <si>
    <t>quaterly</t>
  </si>
  <si>
    <t>Unsafe_days</t>
  </si>
  <si>
    <t>unsafe_streak</t>
  </si>
  <si>
    <t>Row Labels</t>
  </si>
  <si>
    <t>Grand Total</t>
  </si>
  <si>
    <t>Average of pm25</t>
  </si>
  <si>
    <t>May</t>
  </si>
  <si>
    <t>Air Quality Status</t>
  </si>
  <si>
    <t>Q1</t>
  </si>
  <si>
    <t>Q2</t>
  </si>
  <si>
    <t>Q3</t>
  </si>
  <si>
    <t>Q4</t>
  </si>
  <si>
    <t>safe</t>
  </si>
  <si>
    <t>unsafe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</si>
  <si>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</si>
  <si>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</si>
  <si>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</si>
  <si>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</si>
  <si>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</si>
  <si>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</si>
  <si>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</si>
  <si>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</si>
  <si>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</si>
  <si>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</si>
  <si>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</si>
  <si>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Total number of days</t>
  </si>
  <si>
    <t>unsafe days</t>
  </si>
  <si>
    <t>Maximum unsafe streak</t>
  </si>
  <si>
    <t>% of unsafe days</t>
  </si>
  <si>
    <t>Highest PM2.5</t>
  </si>
  <si>
    <t xml:space="preserve">Metric </t>
  </si>
  <si>
    <t>Value</t>
  </si>
  <si>
    <t>Date</t>
  </si>
  <si>
    <t>Lowest PM2.5</t>
  </si>
  <si>
    <t>what does this mean in real life</t>
  </si>
  <si>
    <t>This means that people were exposed to unsafe air, for the most part of 2021.</t>
  </si>
  <si>
    <t>Count of days of Air Quality Status</t>
  </si>
  <si>
    <t>Green</t>
  </si>
  <si>
    <t>Yellow</t>
  </si>
  <si>
    <t>Orange</t>
  </si>
  <si>
    <t>Red</t>
  </si>
  <si>
    <t>COLOUR GRADE</t>
  </si>
  <si>
    <t>PM2.5 RANGE</t>
  </si>
  <si>
    <t>AIR QUALITY</t>
  </si>
  <si>
    <t>0-50</t>
  </si>
  <si>
    <t>GOOD</t>
  </si>
  <si>
    <t>51-100</t>
  </si>
  <si>
    <t>MODERATE</t>
  </si>
  <si>
    <t>101-150</t>
  </si>
  <si>
    <t>UNHEALTHY FOR SENSITIVE GROUPS</t>
  </si>
  <si>
    <t>151-200</t>
  </si>
  <si>
    <t xml:space="preserve">UNHEALTHY </t>
  </si>
  <si>
    <t>PM2.5</t>
  </si>
  <si>
    <t xml:space="preserve"> </t>
  </si>
  <si>
    <t>ind</t>
  </si>
  <si>
    <r>
      <t>pm25  (ug/m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</si>
  <si>
    <r>
      <t xml:space="preserve">Air pollution in Lagos is not just an environmental problem — it is a </t>
    </r>
    <r>
      <rPr>
        <b/>
        <i/>
        <sz val="11"/>
        <color theme="1"/>
        <rFont val="Aptos Narrow"/>
        <family val="2"/>
        <scheme val="minor"/>
      </rPr>
      <t>public health crisis</t>
    </r>
    <r>
      <rPr>
        <i/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</si>
</sst>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72"/>
      <color theme="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42" applyFont="1"/>
    <xf numFmtId="0" fontId="15" fillId="33" borderId="0" xfId="16" applyFill="1"/>
    <xf numFmtId="0" fontId="0" fillId="33" borderId="0" xfId="0" applyFill="1" applyAlignment="1">
      <alignment horizontal="left"/>
    </xf>
    <xf numFmtId="0" fontId="0" fillId="33" borderId="0" xfId="0" applyFill="1"/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34" borderId="0" xfId="0" applyFill="1" applyAlignment="1">
      <alignment horizontal="center"/>
    </xf>
    <xf numFmtId="0" fontId="16" fillId="0" borderId="10" xfId="0" applyFont="1" applyBorder="1" applyAlignment="1">
      <alignment horizontal="left"/>
    </xf>
    <xf numFmtId="0" fontId="16" fillId="0" borderId="10" xfId="0" applyFont="1" applyBorder="1"/>
    <xf numFmtId="0" fontId="16" fillId="0" borderId="12" xfId="0" applyFont="1" applyBorder="1"/>
    <xf numFmtId="0" fontId="16" fillId="0" borderId="10" xfId="0" applyFont="1" applyBorder="1" applyAlignment="1">
      <alignment horizontal="right"/>
    </xf>
    <xf numFmtId="0" fontId="16" fillId="0" borderId="11" xfId="0" applyFont="1" applyBorder="1" applyAlignment="1">
      <alignment horizontal="right"/>
    </xf>
    <xf numFmtId="1" fontId="0" fillId="35" borderId="0" xfId="0" applyNumberFormat="1" applyFill="1"/>
    <xf numFmtId="1" fontId="0" fillId="36" borderId="0" xfId="0" applyNumberFormat="1" applyFill="1"/>
    <xf numFmtId="1" fontId="0" fillId="37" borderId="0" xfId="0" applyNumberFormat="1" applyFill="1"/>
    <xf numFmtId="1" fontId="0" fillId="38" borderId="0" xfId="0" applyNumberFormat="1" applyFill="1"/>
    <xf numFmtId="0" fontId="17" fillId="9" borderId="10" xfId="18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8" borderId="10" xfId="0" applyFill="1" applyBorder="1"/>
    <xf numFmtId="0" fontId="19" fillId="0" borderId="0" xfId="0" applyFont="1"/>
    <xf numFmtId="0" fontId="0" fillId="39" borderId="0" xfId="0" applyFill="1"/>
    <xf numFmtId="0" fontId="21" fillId="0" borderId="0" xfId="0" applyFont="1" applyAlignment="1">
      <alignment horizontal="left" vertical="center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" formatCode="0"/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Quality Data Lagos.xlsx]Analysis!PivotTable6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Average of PM2.5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34925" cap="rnd">
            <a:solidFill>
              <a:srgbClr val="C00000">
                <a:alpha val="97000"/>
              </a:srgb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C00000">
                  <a:alpha val="97000"/>
                </a:srgb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Analysis!$A$4:$A$7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Analysis!$B$4:$B$7</c:f>
              <c:numCache>
                <c:formatCode>0</c:formatCode>
                <c:ptCount val="3"/>
                <c:pt idx="0">
                  <c:v>107.7816091954023</c:v>
                </c:pt>
                <c:pt idx="1">
                  <c:v>87.318996415770613</c:v>
                </c:pt>
                <c:pt idx="2">
                  <c:v>92.34210526315789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1E-400C-8EA2-8FCF8B141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582192"/>
        <c:axId val="598580032"/>
      </c:lineChart>
      <c:catAx>
        <c:axId val="5985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98580032"/>
        <c:crosses val="autoZero"/>
        <c:auto val="1"/>
        <c:lblAlgn val="ctr"/>
        <c:lblOffset val="100"/>
        <c:noMultiLvlLbl val="0"/>
      </c:catAx>
      <c:valAx>
        <c:axId val="59858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41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985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[Air Quality Data Lagos.xlsx]Analysis!PivotTable8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Days</a:t>
            </a:r>
            <a:r>
              <a:rPr lang="en-US" baseline="0">
                <a:solidFill>
                  <a:schemeClr val="tx1"/>
                </a:solidFill>
              </a:rPr>
              <a:t> of </a:t>
            </a:r>
            <a:r>
              <a:rPr lang="en-US">
                <a:solidFill>
                  <a:schemeClr val="tx1"/>
                </a:solidFill>
              </a:rPr>
              <a:t>Air quality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51AB-4D8A-99B7-409551230550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2-51AB-4D8A-99B7-409551230550}"/>
              </c:ext>
            </c:extLst>
          </c:dPt>
          <c:cat>
            <c:strRef>
              <c:f>Analysis!$D$4:$D$6</c:f>
              <c:strCache>
                <c:ptCount val="2"/>
                <c:pt idx="0">
                  <c:v>safe</c:v>
                </c:pt>
                <c:pt idx="1">
                  <c:v>unsafe</c:v>
                </c:pt>
              </c:strCache>
            </c:strRef>
          </c:cat>
          <c:val>
            <c:numRef>
              <c:f>Analysis!$E$4:$E$6</c:f>
              <c:numCache>
                <c:formatCode>General</c:formatCode>
                <c:ptCount val="2"/>
                <c:pt idx="0">
                  <c:v>24</c:v>
                </c:pt>
                <c:pt idx="1">
                  <c:v>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B-4D8A-99B7-409551230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47967608"/>
        <c:axId val="747962208"/>
      </c:barChart>
      <c:catAx>
        <c:axId val="747967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47962208"/>
        <c:crosses val="autoZero"/>
        <c:auto val="1"/>
        <c:lblAlgn val="ctr"/>
        <c:lblOffset val="100"/>
        <c:noMultiLvlLbl val="0"/>
      </c:catAx>
      <c:valAx>
        <c:axId val="74796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41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47967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Quality Data Lagos.xlsx]Analysis!PivotTable9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Monthly PM2.5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34925" cap="rnd">
            <a:solidFill>
              <a:srgbClr val="C0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Analysis!$I$6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C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Analysis!$H$7:$H$19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Analysis!$I$7:$I$19</c:f>
              <c:numCache>
                <c:formatCode>0</c:formatCode>
                <c:ptCount val="12"/>
                <c:pt idx="0">
                  <c:v>156.73770491803279</c:v>
                </c:pt>
                <c:pt idx="1">
                  <c:v>146.48214285714286</c:v>
                </c:pt>
                <c:pt idx="2">
                  <c:v>84.643678160919535</c:v>
                </c:pt>
                <c:pt idx="3">
                  <c:v>80.453125</c:v>
                </c:pt>
                <c:pt idx="4">
                  <c:v>84.403225806451616</c:v>
                </c:pt>
                <c:pt idx="5">
                  <c:v>92.666666666666671</c:v>
                </c:pt>
                <c:pt idx="6">
                  <c:v>91.290322580645167</c:v>
                </c:pt>
                <c:pt idx="7">
                  <c:v>104.70967741935483</c:v>
                </c:pt>
                <c:pt idx="8">
                  <c:v>96.20338983050847</c:v>
                </c:pt>
                <c:pt idx="9">
                  <c:v>102.38888888888889</c:v>
                </c:pt>
                <c:pt idx="10">
                  <c:v>58.466666666666669</c:v>
                </c:pt>
                <c:pt idx="11">
                  <c:v>45.482758620689658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C6-4E44-86DF-7C3EAE4037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1504984"/>
        <c:axId val="651509304"/>
      </c:lineChart>
      <c:catAx>
        <c:axId val="65150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51509304"/>
        <c:crosses val="autoZero"/>
        <c:auto val="1"/>
        <c:lblAlgn val="ctr"/>
        <c:lblOffset val="100"/>
        <c:noMultiLvlLbl val="0"/>
      </c:catAx>
      <c:valAx>
        <c:axId val="651509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41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51504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Quality Data Lagos.xlsx]Analysis!PivotTable8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</a:rPr>
              <a:t>Days Of Air Quality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5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E7-4194-A8F9-069D95DD4A54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4E7-4194-A8F9-069D95DD4A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Analysis!$D$4:$D$6</c:f>
              <c:strCache>
                <c:ptCount val="2"/>
                <c:pt idx="0">
                  <c:v>safe</c:v>
                </c:pt>
                <c:pt idx="1">
                  <c:v>unsafe</c:v>
                </c:pt>
              </c:strCache>
            </c:strRef>
          </c:cat>
          <c:val>
            <c:numRef>
              <c:f>Analysis!$E$4:$E$6</c:f>
              <c:numCache>
                <c:formatCode>General</c:formatCode>
                <c:ptCount val="2"/>
                <c:pt idx="0">
                  <c:v>24</c:v>
                </c:pt>
                <c:pt idx="1">
                  <c:v>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7-4194-A8F9-069D95DD4A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Quality Data Lagos.xlsx]Analysis!PivotTable9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Monthly PM2.5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2B-4117-B6C2-34269FD98826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72B-4117-B6C2-34269FD98826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2B-4117-B6C2-34269FD98826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772B-4117-B6C2-34269FD98826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72B-4117-B6C2-34269FD98826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772B-4117-B6C2-34269FD98826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72B-4117-B6C2-34269FD98826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772B-4117-B6C2-34269FD98826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72B-4117-B6C2-34269FD98826}"/>
              </c:ext>
            </c:extLst>
          </c:dPt>
          <c:dPt>
            <c:idx val="9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772B-4117-B6C2-34269FD98826}"/>
              </c:ext>
            </c:extLst>
          </c:dPt>
          <c:dPt>
            <c:idx val="1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72B-4117-B6C2-34269FD98826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72B-4117-B6C2-34269FD98826}"/>
              </c:ext>
            </c:extLst>
          </c:dPt>
          <c:cat>
            <c:strRef>
              <c:f>Analysis!$H$7:$H$19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Analysis!$I$7:$I$19</c:f>
              <c:numCache>
                <c:formatCode>0</c:formatCode>
                <c:ptCount val="12"/>
                <c:pt idx="0">
                  <c:v>156.73770491803279</c:v>
                </c:pt>
                <c:pt idx="1">
                  <c:v>146.48214285714286</c:v>
                </c:pt>
                <c:pt idx="2">
                  <c:v>84.643678160919535</c:v>
                </c:pt>
                <c:pt idx="3">
                  <c:v>80.453125</c:v>
                </c:pt>
                <c:pt idx="4">
                  <c:v>84.403225806451616</c:v>
                </c:pt>
                <c:pt idx="5">
                  <c:v>92.666666666666671</c:v>
                </c:pt>
                <c:pt idx="6">
                  <c:v>91.290322580645167</c:v>
                </c:pt>
                <c:pt idx="7">
                  <c:v>104.70967741935483</c:v>
                </c:pt>
                <c:pt idx="8">
                  <c:v>96.20338983050847</c:v>
                </c:pt>
                <c:pt idx="9">
                  <c:v>102.38888888888889</c:v>
                </c:pt>
                <c:pt idx="10">
                  <c:v>58.466666666666669</c:v>
                </c:pt>
                <c:pt idx="11">
                  <c:v>45.482758620689658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B-4117-B6C2-34269FD98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06911120"/>
        <c:axId val="706912200"/>
      </c:barChart>
      <c:catAx>
        <c:axId val="70691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06912200"/>
        <c:crosses val="autoZero"/>
        <c:auto val="1"/>
        <c:lblAlgn val="ctr"/>
        <c:lblOffset val="100"/>
        <c:noMultiLvlLbl val="0"/>
      </c:catAx>
      <c:valAx>
        <c:axId val="706912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47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0691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Quality Data Lagos.xlsx]Analysis!PivotTable8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C1-4F56-8ED4-4856F547DDF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DC1-4F56-8ED4-4856F547DDFA}"/>
              </c:ext>
            </c:extLst>
          </c:dPt>
          <c:cat>
            <c:strRef>
              <c:f>Analysis!$D$4:$D$6</c:f>
              <c:strCache>
                <c:ptCount val="2"/>
                <c:pt idx="0">
                  <c:v>safe</c:v>
                </c:pt>
                <c:pt idx="1">
                  <c:v>unsafe</c:v>
                </c:pt>
              </c:strCache>
            </c:strRef>
          </c:cat>
          <c:val>
            <c:numRef>
              <c:f>Analysis!$E$4:$E$6</c:f>
              <c:numCache>
                <c:formatCode>General</c:formatCode>
                <c:ptCount val="2"/>
                <c:pt idx="0">
                  <c:v>24</c:v>
                </c:pt>
                <c:pt idx="1">
                  <c:v>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1-4F56-8ED4-4856F547D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336480"/>
        <c:axId val="455330000"/>
      </c:barChart>
      <c:catAx>
        <c:axId val="45533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5330000"/>
        <c:crosses val="autoZero"/>
        <c:auto val="1"/>
        <c:lblAlgn val="ctr"/>
        <c:lblOffset val="100"/>
        <c:noMultiLvlLbl val="0"/>
      </c:catAx>
      <c:valAx>
        <c:axId val="45533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533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Quality Data Lagos.xlsx]Analysis!PivotTable8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bg1"/>
                </a:solidFill>
              </a:rPr>
              <a:t>Days Of Air Quality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5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F46-415E-8DF4-7CD5F089BE13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F46-415E-8DF4-7CD5F089BE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Analysis!$D$4:$D$6</c:f>
              <c:strCache>
                <c:ptCount val="2"/>
                <c:pt idx="0">
                  <c:v>safe</c:v>
                </c:pt>
                <c:pt idx="1">
                  <c:v>unsafe</c:v>
                </c:pt>
              </c:strCache>
            </c:strRef>
          </c:cat>
          <c:val>
            <c:numRef>
              <c:f>Analysis!$E$4:$E$6</c:f>
              <c:numCache>
                <c:formatCode>General</c:formatCode>
                <c:ptCount val="2"/>
                <c:pt idx="0">
                  <c:v>24</c:v>
                </c:pt>
                <c:pt idx="1">
                  <c:v>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46-415E-8DF4-7CD5F089BE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  <a:alpha val="0"/>
      </a:schemeClr>
    </a:soli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Quality Data Lagos.xlsx]Analysis!PivotTable9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Monthly PM2.5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D44-46AA-82AF-0819F5D94564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D44-46AA-82AF-0819F5D94564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D44-46AA-82AF-0819F5D94564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D44-46AA-82AF-0819F5D94564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D44-46AA-82AF-0819F5D94564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D44-46AA-82AF-0819F5D94564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D44-46AA-82AF-0819F5D94564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D44-46AA-82AF-0819F5D94564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D44-46AA-82AF-0819F5D94564}"/>
              </c:ext>
            </c:extLst>
          </c:dPt>
          <c:dPt>
            <c:idx val="9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D44-46AA-82AF-0819F5D94564}"/>
              </c:ext>
            </c:extLst>
          </c:dPt>
          <c:dPt>
            <c:idx val="1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D44-46AA-82AF-0819F5D94564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D44-46AA-82AF-0819F5D94564}"/>
              </c:ext>
            </c:extLst>
          </c:dPt>
          <c:cat>
            <c:strRef>
              <c:f>Analysis!$H$7:$H$19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Analysis!$I$7:$I$19</c:f>
              <c:numCache>
                <c:formatCode>0</c:formatCode>
                <c:ptCount val="12"/>
                <c:pt idx="0">
                  <c:v>156.73770491803279</c:v>
                </c:pt>
                <c:pt idx="1">
                  <c:v>146.48214285714286</c:v>
                </c:pt>
                <c:pt idx="2">
                  <c:v>84.643678160919535</c:v>
                </c:pt>
                <c:pt idx="3">
                  <c:v>80.453125</c:v>
                </c:pt>
                <c:pt idx="4">
                  <c:v>84.403225806451616</c:v>
                </c:pt>
                <c:pt idx="5">
                  <c:v>92.666666666666671</c:v>
                </c:pt>
                <c:pt idx="6">
                  <c:v>91.290322580645167</c:v>
                </c:pt>
                <c:pt idx="7">
                  <c:v>104.70967741935483</c:v>
                </c:pt>
                <c:pt idx="8">
                  <c:v>96.20338983050847</c:v>
                </c:pt>
                <c:pt idx="9">
                  <c:v>102.38888888888889</c:v>
                </c:pt>
                <c:pt idx="10">
                  <c:v>58.466666666666669</c:v>
                </c:pt>
                <c:pt idx="11">
                  <c:v>45.482758620689658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B-4117-B6C2-34269FD98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06911120"/>
        <c:axId val="706912200"/>
      </c:barChart>
      <c:catAx>
        <c:axId val="70691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06912200"/>
        <c:crosses val="autoZero"/>
        <c:auto val="1"/>
        <c:lblAlgn val="ctr"/>
        <c:lblOffset val="100"/>
        <c:noMultiLvlLbl val="0"/>
      </c:catAx>
      <c:valAx>
        <c:axId val="706912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47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0691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  <a:alpha val="0"/>
      </a:schemeClr>
    </a:soli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Quality Data Lagos.xlsx]Analysis!PivotTable6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Average of PM2.5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C00000">
                <a:alpha val="97000"/>
              </a:srgb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C00000">
                <a:alpha val="97000"/>
              </a:srgb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rgbClr val="C00000">
                <a:alpha val="97000"/>
              </a:srgb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C00000">
                  <a:alpha val="97000"/>
                </a:srgb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Analysis!$A$4:$A$7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Analysis!$B$4:$B$7</c:f>
              <c:numCache>
                <c:formatCode>0</c:formatCode>
                <c:ptCount val="3"/>
                <c:pt idx="0">
                  <c:v>107.7816091954023</c:v>
                </c:pt>
                <c:pt idx="1">
                  <c:v>87.318996415770613</c:v>
                </c:pt>
                <c:pt idx="2">
                  <c:v>92.34210526315789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8E-42C5-BA15-172A872E4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582192"/>
        <c:axId val="598580032"/>
      </c:lineChart>
      <c:catAx>
        <c:axId val="5985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98580032"/>
        <c:crosses val="autoZero"/>
        <c:auto val="1"/>
        <c:lblAlgn val="ctr"/>
        <c:lblOffset val="100"/>
        <c:noMultiLvlLbl val="0"/>
      </c:catAx>
      <c:valAx>
        <c:axId val="59858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41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985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  <a:alpha val="0"/>
      </a:schemeClr>
    </a:soli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[Air Quality Data Lagos.xlsx]Analysis!PivotTable6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Average of PM2.5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rgbClr val="C0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1"/>
            </a:solidFill>
            <a:ln w="9525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C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dk1">
                    <a:tint val="885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Analysis!$A$4:$A$7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Analysis!$B$4:$B$7</c:f>
              <c:numCache>
                <c:formatCode>0</c:formatCode>
                <c:ptCount val="3"/>
                <c:pt idx="0">
                  <c:v>107.7816091954023</c:v>
                </c:pt>
                <c:pt idx="1">
                  <c:v>87.318996415770613</c:v>
                </c:pt>
                <c:pt idx="2">
                  <c:v>92.34210526315789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B1-4241-A97E-D348707C997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1504984"/>
        <c:axId val="651509304"/>
      </c:lineChart>
      <c:catAx>
        <c:axId val="65150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51509304"/>
        <c:crosses val="autoZero"/>
        <c:auto val="1"/>
        <c:lblAlgn val="ctr"/>
        <c:lblOffset val="100"/>
        <c:noMultiLvlLbl val="0"/>
      </c:catAx>
      <c:valAx>
        <c:axId val="651509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41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51504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Quality Data Lagos.xlsx]Analysis!PivotTable9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Monthly PM2.5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BB1-4F4A-973A-4FCA41FD5E8B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BB1-4F4A-973A-4FCA41FD5E8B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BB1-4F4A-973A-4FCA41FD5E8B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BB1-4F4A-973A-4FCA41FD5E8B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BB1-4F4A-973A-4FCA41FD5E8B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BB1-4F4A-973A-4FCA41FD5E8B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BB1-4F4A-973A-4FCA41FD5E8B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BB1-4F4A-973A-4FCA41FD5E8B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BB1-4F4A-973A-4FCA41FD5E8B}"/>
              </c:ext>
            </c:extLst>
          </c:dPt>
          <c:dPt>
            <c:idx val="9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BB1-4F4A-973A-4FCA41FD5E8B}"/>
              </c:ext>
            </c:extLst>
          </c:dPt>
          <c:dPt>
            <c:idx val="1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FBB1-4F4A-973A-4FCA41FD5E8B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BB1-4F4A-973A-4FCA41FD5E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Analysis!$H$7:$H$19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Analysis!$I$7:$I$19</c:f>
              <c:numCache>
                <c:formatCode>0</c:formatCode>
                <c:ptCount val="12"/>
                <c:pt idx="0">
                  <c:v>156.73770491803279</c:v>
                </c:pt>
                <c:pt idx="1">
                  <c:v>146.48214285714286</c:v>
                </c:pt>
                <c:pt idx="2">
                  <c:v>84.643678160919535</c:v>
                </c:pt>
                <c:pt idx="3">
                  <c:v>80.453125</c:v>
                </c:pt>
                <c:pt idx="4">
                  <c:v>84.403225806451616</c:v>
                </c:pt>
                <c:pt idx="5">
                  <c:v>92.666666666666671</c:v>
                </c:pt>
                <c:pt idx="6">
                  <c:v>91.290322580645167</c:v>
                </c:pt>
                <c:pt idx="7">
                  <c:v>104.70967741935483</c:v>
                </c:pt>
                <c:pt idx="8">
                  <c:v>96.20338983050847</c:v>
                </c:pt>
                <c:pt idx="9">
                  <c:v>102.38888888888889</c:v>
                </c:pt>
                <c:pt idx="10">
                  <c:v>58.466666666666669</c:v>
                </c:pt>
                <c:pt idx="11">
                  <c:v>45.482758620689658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BB1-4F4A-973A-4FCA41FD5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06911120"/>
        <c:axId val="706912200"/>
      </c:barChart>
      <c:catAx>
        <c:axId val="70691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06912200"/>
        <c:crosses val="autoZero"/>
        <c:auto val="1"/>
        <c:lblAlgn val="ctr"/>
        <c:lblOffset val="100"/>
        <c:noMultiLvlLbl val="0"/>
      </c:catAx>
      <c:valAx>
        <c:axId val="706912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47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0691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Quality Data Lagos.xlsx]Analysis!PivotTable8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</a:rPr>
              <a:t>Days Of Air Quality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5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37-474D-B365-88BFEB958F04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437-474D-B365-88BFEB958F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Analysis!$D$4:$D$6</c:f>
              <c:strCache>
                <c:ptCount val="2"/>
                <c:pt idx="0">
                  <c:v>safe</c:v>
                </c:pt>
                <c:pt idx="1">
                  <c:v>unsafe</c:v>
                </c:pt>
              </c:strCache>
            </c:strRef>
          </c:cat>
          <c:val>
            <c:numRef>
              <c:f>Analysis!$E$4:$E$6</c:f>
              <c:numCache>
                <c:formatCode>General</c:formatCode>
                <c:ptCount val="2"/>
                <c:pt idx="0">
                  <c:v>24</c:v>
                </c:pt>
                <c:pt idx="1">
                  <c:v>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37-474D-B365-88BFEB958F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png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137160</xdr:rowOff>
    </xdr:from>
    <xdr:to>
      <xdr:col>2</xdr:col>
      <xdr:colOff>571500</xdr:colOff>
      <xdr:row>22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F70E33-FA43-59CC-9A45-702769606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</xdr:colOff>
      <xdr:row>10</xdr:row>
      <xdr:rowOff>7620</xdr:rowOff>
    </xdr:from>
    <xdr:to>
      <xdr:col>6</xdr:col>
      <xdr:colOff>15240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910EBC-330E-6D29-B253-E4ED83E88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</xdr:colOff>
      <xdr:row>11</xdr:row>
      <xdr:rowOff>90488</xdr:rowOff>
    </xdr:from>
    <xdr:to>
      <xdr:col>16</xdr:col>
      <xdr:colOff>276225</xdr:colOff>
      <xdr:row>26</xdr:row>
      <xdr:rowOff>119063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915E0F-433F-1637-2C8C-C6817E324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238125</xdr:colOff>
      <xdr:row>23</xdr:row>
      <xdr:rowOff>90488</xdr:rowOff>
    </xdr:from>
    <xdr:to>
      <xdr:col>4</xdr:col>
      <xdr:colOff>1476375</xdr:colOff>
      <xdr:row>38</xdr:row>
      <xdr:rowOff>119063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913F5F-1398-BAC9-09FD-D4EA319B6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148167</xdr:colOff>
      <xdr:row>27</xdr:row>
      <xdr:rowOff>137584</xdr:rowOff>
    </xdr:from>
    <xdr:to>
      <xdr:col>19</xdr:col>
      <xdr:colOff>349250</xdr:colOff>
      <xdr:row>43</xdr:row>
      <xdr:rowOff>2117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C6BA4D-CC51-A45E-5D38-E633D0247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450273</xdr:colOff>
      <xdr:row>9</xdr:row>
      <xdr:rowOff>1080655</xdr:rowOff>
    </xdr:from>
    <xdr:to>
      <xdr:col>19</xdr:col>
      <xdr:colOff>20782</xdr:colOff>
      <xdr:row>19</xdr:row>
      <xdr:rowOff>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074DB03-AF34-434A-61D9-B9CF8614F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179526</xdr:colOff>
      <xdr:row>17</xdr:row>
      <xdr:rowOff>89649</xdr:rowOff>
    </xdr:from>
    <xdr:to>
      <xdr:col>40</xdr:col>
      <xdr:colOff>335411</xdr:colOff>
      <xdr:row>93</xdr:row>
      <xdr:rowOff>67240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C846DB46-776F-B4F2-70BC-F7C4F9E54E56}"/>
            </a:ext>
          </a:extLst>
        </xdr:cNvPr>
        <xdr:cNvGrpSpPr/>
      </xdr:nvGrpSpPr>
      <xdr:grpSpPr>
        <a:xfrm>
          <a:off x="1380253" y="3230013"/>
          <a:ext cx="22969703" cy="14016863"/>
          <a:chOff x="1398726" y="3112249"/>
          <a:chExt cx="23320685" cy="13490391"/>
        </a:xfrm>
      </xdr:grpSpPr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8FEA094B-512A-70E1-4D91-AAE04CF54243}"/>
              </a:ext>
            </a:extLst>
          </xdr:cNvPr>
          <xdr:cNvSpPr/>
        </xdr:nvSpPr>
        <xdr:spPr>
          <a:xfrm>
            <a:off x="3503946" y="4528656"/>
            <a:ext cx="21215465" cy="11355713"/>
          </a:xfrm>
          <a:prstGeom prst="roundRect">
            <a:avLst>
              <a:gd name="adj" fmla="val 5455"/>
            </a:avLst>
          </a:prstGeom>
          <a:gradFill flip="none" rotWithShape="1">
            <a:gsLst>
              <a:gs pos="0">
                <a:schemeClr val="tx2">
                  <a:lumMod val="90000"/>
                  <a:lumOff val="10000"/>
                </a:schemeClr>
              </a:gs>
              <a:gs pos="96000">
                <a:schemeClr val="tx1">
                  <a:lumMod val="95000"/>
                  <a:lumOff val="5000"/>
                </a:scheme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E92B493F-EF6C-1457-472B-79D7BA968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alphaModFix amt="49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687931" y="3823044"/>
            <a:ext cx="13490391" cy="12068802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217351</xdr:colOff>
      <xdr:row>67</xdr:row>
      <xdr:rowOff>181265</xdr:rowOff>
    </xdr:from>
    <xdr:to>
      <xdr:col>18</xdr:col>
      <xdr:colOff>330199</xdr:colOff>
      <xdr:row>88</xdr:row>
      <xdr:rowOff>34453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CFB3C93-CB05-4323-BCEC-92CB7094C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105064</xdr:colOff>
      <xdr:row>42</xdr:row>
      <xdr:rowOff>144320</xdr:rowOff>
    </xdr:from>
    <xdr:to>
      <xdr:col>38</xdr:col>
      <xdr:colOff>299029</xdr:colOff>
      <xdr:row>66</xdr:row>
      <xdr:rowOff>178955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4EDA348-CB54-4628-8F7C-852A3236B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462661</xdr:colOff>
      <xdr:row>44</xdr:row>
      <xdr:rowOff>40002</xdr:rowOff>
    </xdr:from>
    <xdr:to>
      <xdr:col>20</xdr:col>
      <xdr:colOff>190500</xdr:colOff>
      <xdr:row>64</xdr:row>
      <xdr:rowOff>54264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B13D245-CEBE-490D-8512-B8299D7A9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103909</xdr:colOff>
      <xdr:row>33</xdr:row>
      <xdr:rowOff>61652</xdr:rowOff>
    </xdr:from>
    <xdr:to>
      <xdr:col>15</xdr:col>
      <xdr:colOff>34637</xdr:colOff>
      <xdr:row>41</xdr:row>
      <xdr:rowOff>51954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2E4FCDC4-FE1E-5F4B-6130-1594DE8D257B}"/>
            </a:ext>
          </a:extLst>
        </xdr:cNvPr>
        <xdr:cNvSpPr/>
      </xdr:nvSpPr>
      <xdr:spPr>
        <a:xfrm>
          <a:off x="4953000" y="6348152"/>
          <a:ext cx="4173682" cy="1514302"/>
        </a:xfrm>
        <a:prstGeom prst="roundRect">
          <a:avLst/>
        </a:prstGeom>
        <a:solidFill>
          <a:schemeClr val="accent1">
            <a:lumMod val="20000"/>
            <a:lumOff val="80000"/>
            <a:alpha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5772</xdr:colOff>
      <xdr:row>33</xdr:row>
      <xdr:rowOff>61652</xdr:rowOff>
    </xdr:from>
    <xdr:to>
      <xdr:col>22</xdr:col>
      <xdr:colOff>542636</xdr:colOff>
      <xdr:row>41</xdr:row>
      <xdr:rowOff>51954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1E3172ED-652C-F85A-2979-2273B4D24022}"/>
            </a:ext>
          </a:extLst>
        </xdr:cNvPr>
        <xdr:cNvSpPr/>
      </xdr:nvSpPr>
      <xdr:spPr>
        <a:xfrm>
          <a:off x="9703954" y="6348152"/>
          <a:ext cx="4173682" cy="1514302"/>
        </a:xfrm>
        <a:prstGeom prst="roundRect">
          <a:avLst/>
        </a:prstGeom>
        <a:solidFill>
          <a:schemeClr val="accent1">
            <a:lumMod val="20000"/>
            <a:lumOff val="80000"/>
            <a:alpha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513772</xdr:colOff>
      <xdr:row>33</xdr:row>
      <xdr:rowOff>61652</xdr:rowOff>
    </xdr:from>
    <xdr:to>
      <xdr:col>30</xdr:col>
      <xdr:colOff>444499</xdr:colOff>
      <xdr:row>41</xdr:row>
      <xdr:rowOff>51954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E467B9AA-09A0-E954-49EC-980677E618B1}"/>
            </a:ext>
          </a:extLst>
        </xdr:cNvPr>
        <xdr:cNvSpPr/>
      </xdr:nvSpPr>
      <xdr:spPr>
        <a:xfrm>
          <a:off x="14454908" y="6348152"/>
          <a:ext cx="4173682" cy="1514302"/>
        </a:xfrm>
        <a:prstGeom prst="roundRect">
          <a:avLst/>
        </a:prstGeom>
        <a:solidFill>
          <a:schemeClr val="accent1">
            <a:lumMod val="20000"/>
            <a:lumOff val="80000"/>
            <a:alpha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415636</xdr:colOff>
      <xdr:row>33</xdr:row>
      <xdr:rowOff>61652</xdr:rowOff>
    </xdr:from>
    <xdr:to>
      <xdr:col>38</xdr:col>
      <xdr:colOff>346363</xdr:colOff>
      <xdr:row>41</xdr:row>
      <xdr:rowOff>51954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838C007-DCF4-36DF-89B1-4A7C439A8F46}"/>
            </a:ext>
          </a:extLst>
        </xdr:cNvPr>
        <xdr:cNvSpPr/>
      </xdr:nvSpPr>
      <xdr:spPr>
        <a:xfrm>
          <a:off x="19205863" y="6348152"/>
          <a:ext cx="4173682" cy="1514302"/>
        </a:xfrm>
        <a:prstGeom prst="roundRect">
          <a:avLst/>
        </a:prstGeom>
        <a:solidFill>
          <a:schemeClr val="accent1">
            <a:lumMod val="20000"/>
            <a:lumOff val="80000"/>
            <a:alpha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47</xdr:col>
      <xdr:colOff>331931</xdr:colOff>
      <xdr:row>48</xdr:row>
      <xdr:rowOff>11546</xdr:rowOff>
    </xdr:from>
    <xdr:to>
      <xdr:col>74</xdr:col>
      <xdr:colOff>5772</xdr:colOff>
      <xdr:row>83</xdr:row>
      <xdr:rowOff>59170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06C7FDE-9DCD-6CB9-6481-E70B0035A8DD}"/>
            </a:ext>
          </a:extLst>
        </xdr:cNvPr>
        <xdr:cNvSpPr txBox="1"/>
      </xdr:nvSpPr>
      <xdr:spPr>
        <a:xfrm>
          <a:off x="28549022" y="8878455"/>
          <a:ext cx="15883659" cy="6513079"/>
        </a:xfrm>
        <a:prstGeom prst="rect">
          <a:avLst/>
        </a:prstGeom>
        <a:noFill/>
        <a:ln w="9525" cmpd="sng">
          <a:noFill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5000">
              <a:ln>
                <a:noFill/>
              </a:ln>
              <a:solidFill>
                <a:sysClr val="windowText" lastClr="000000"/>
              </a:solidFill>
            </a:rPr>
            <a:t>PM2.5</a:t>
          </a:r>
          <a:endParaRPr lang="en-NG" sz="35000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91439</xdr:colOff>
      <xdr:row>2</xdr:row>
      <xdr:rowOff>110145</xdr:rowOff>
    </xdr:from>
    <xdr:to>
      <xdr:col>21</xdr:col>
      <xdr:colOff>257735</xdr:colOff>
      <xdr:row>42</xdr:row>
      <xdr:rowOff>62630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8E68ABC5-C971-5A74-5BDE-1CA68EF7A7F4}"/>
            </a:ext>
          </a:extLst>
        </xdr:cNvPr>
        <xdr:cNvGrpSpPr/>
      </xdr:nvGrpSpPr>
      <xdr:grpSpPr>
        <a:xfrm>
          <a:off x="1907713" y="485926"/>
          <a:ext cx="11063940" cy="7468101"/>
          <a:chOff x="1906792" y="358588"/>
          <a:chExt cx="10667974" cy="6393604"/>
        </a:xfrm>
      </xdr:grpSpPr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BAD1A1B4-045E-1B4F-7308-0053B3493CEB}"/>
              </a:ext>
            </a:extLst>
          </xdr:cNvPr>
          <xdr:cNvGrpSpPr/>
        </xdr:nvGrpSpPr>
        <xdr:grpSpPr>
          <a:xfrm>
            <a:off x="1906792" y="358588"/>
            <a:ext cx="10667974" cy="6375732"/>
            <a:chOff x="1906792" y="358588"/>
            <a:chExt cx="10667974" cy="6375732"/>
          </a:xfrm>
        </xdr:grpSpPr>
        <xdr:grpSp>
          <xdr:nvGrpSpPr>
            <xdr:cNvPr id="36" name="Group 35">
              <a:extLst>
                <a:ext uri="{FF2B5EF4-FFF2-40B4-BE49-F238E27FC236}">
                  <a16:creationId xmlns:a16="http://schemas.microsoft.com/office/drawing/2014/main" id="{9714C3C0-9D05-288B-3AAD-2C8BE41E0802}"/>
                </a:ext>
              </a:extLst>
            </xdr:cNvPr>
            <xdr:cNvGrpSpPr/>
          </xdr:nvGrpSpPr>
          <xdr:grpSpPr>
            <a:xfrm>
              <a:off x="1906792" y="1331259"/>
              <a:ext cx="10319969" cy="5403061"/>
              <a:chOff x="1906792" y="1331259"/>
              <a:chExt cx="10319969" cy="5403061"/>
            </a:xfrm>
          </xdr:grpSpPr>
          <xdr:graphicFrame macro="">
            <xdr:nvGraphicFramePr>
              <xdr:cNvPr id="11" name="Chart 10">
                <a:extLst>
                  <a:ext uri="{FF2B5EF4-FFF2-40B4-BE49-F238E27FC236}">
                    <a16:creationId xmlns:a16="http://schemas.microsoft.com/office/drawing/2014/main" id="{D6EB8A82-E9BC-4F43-9AA6-CC3AE2117CB9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916569" y="1337037"/>
              <a:ext cx="3440454" cy="198070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graphicFrame macro="">
            <xdr:nvGraphicFramePr>
              <xdr:cNvPr id="13" name="Chart 12">
                <a:extLst>
                  <a:ext uri="{FF2B5EF4-FFF2-40B4-BE49-F238E27FC236}">
                    <a16:creationId xmlns:a16="http://schemas.microsoft.com/office/drawing/2014/main" id="{F044E35E-FE81-4926-AA39-AEF1D3B046A5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906792" y="3423521"/>
              <a:ext cx="7153673" cy="3310798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graphicFrame macro="">
            <xdr:nvGraphicFramePr>
              <xdr:cNvPr id="14" name="Chart 13">
                <a:extLst>
                  <a:ext uri="{FF2B5EF4-FFF2-40B4-BE49-F238E27FC236}">
                    <a16:creationId xmlns:a16="http://schemas.microsoft.com/office/drawing/2014/main" id="{36A1B1D6-FD76-4273-BB48-2E66457D6ABE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446060" y="1335342"/>
              <a:ext cx="3614406" cy="198015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sp macro="" textlink="">
            <xdr:nvSpPr>
              <xdr:cNvPr id="15" name="Rectangle 14">
                <a:extLst>
                  <a:ext uri="{FF2B5EF4-FFF2-40B4-BE49-F238E27FC236}">
                    <a16:creationId xmlns:a16="http://schemas.microsoft.com/office/drawing/2014/main" id="{3170171E-F5C8-B4CC-35FC-F6EAA403622D}"/>
                  </a:ext>
                </a:extLst>
              </xdr:cNvPr>
              <xdr:cNvSpPr/>
            </xdr:nvSpPr>
            <xdr:spPr>
              <a:xfrm>
                <a:off x="9147884" y="1331259"/>
                <a:ext cx="3078877" cy="5403061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NG" sz="1100"/>
              </a:p>
            </xdr:txBody>
          </xdr:sp>
        </xdr:grpSp>
        <xdr:grpSp>
          <xdr:nvGrpSpPr>
            <xdr:cNvPr id="41" name="Group 40">
              <a:extLst>
                <a:ext uri="{FF2B5EF4-FFF2-40B4-BE49-F238E27FC236}">
                  <a16:creationId xmlns:a16="http://schemas.microsoft.com/office/drawing/2014/main" id="{8DEA0398-E53C-A071-D93F-958DB5AAFE7C}"/>
                </a:ext>
              </a:extLst>
            </xdr:cNvPr>
            <xdr:cNvGrpSpPr/>
          </xdr:nvGrpSpPr>
          <xdr:grpSpPr>
            <a:xfrm>
              <a:off x="1915502" y="358588"/>
              <a:ext cx="10659264" cy="878811"/>
              <a:chOff x="1915502" y="358588"/>
              <a:chExt cx="10659264" cy="878811"/>
            </a:xfrm>
          </xdr:grpSpPr>
          <xdr:grpSp>
            <xdr:nvGrpSpPr>
              <xdr:cNvPr id="37" name="Group 36">
                <a:extLst>
                  <a:ext uri="{FF2B5EF4-FFF2-40B4-BE49-F238E27FC236}">
                    <a16:creationId xmlns:a16="http://schemas.microsoft.com/office/drawing/2014/main" id="{281146B6-BD6E-8A95-B3BA-A42349F14591}"/>
                  </a:ext>
                </a:extLst>
              </xdr:cNvPr>
              <xdr:cNvGrpSpPr/>
            </xdr:nvGrpSpPr>
            <xdr:grpSpPr>
              <a:xfrm>
                <a:off x="1915502" y="358588"/>
                <a:ext cx="3697965" cy="878811"/>
                <a:chOff x="1915502" y="358588"/>
                <a:chExt cx="3697965" cy="878811"/>
              </a:xfrm>
            </xdr:grpSpPr>
            <xdr:sp macro="" textlink="">
              <xdr:nvSpPr>
                <xdr:cNvPr id="6" name="Rectangle 5">
                  <a:extLst>
                    <a:ext uri="{FF2B5EF4-FFF2-40B4-BE49-F238E27FC236}">
                      <a16:creationId xmlns:a16="http://schemas.microsoft.com/office/drawing/2014/main" id="{A06DD927-F1AF-BF47-5C40-27ACB74F1E42}"/>
                    </a:ext>
                  </a:extLst>
                </xdr:cNvPr>
                <xdr:cNvSpPr/>
              </xdr:nvSpPr>
              <xdr:spPr>
                <a:xfrm>
                  <a:off x="1915502" y="358588"/>
                  <a:ext cx="2299405" cy="852644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NG" sz="1100"/>
                </a:p>
              </xdr:txBody>
            </xdr:sp>
            <xdr:sp macro="" textlink="">
              <xdr:nvSpPr>
                <xdr:cNvPr id="16" name="TextBox 15">
                  <a:extLst>
                    <a:ext uri="{FF2B5EF4-FFF2-40B4-BE49-F238E27FC236}">
                      <a16:creationId xmlns:a16="http://schemas.microsoft.com/office/drawing/2014/main" id="{2FA751E5-3F52-3B3B-003F-7ECA01934D30}"/>
                    </a:ext>
                  </a:extLst>
                </xdr:cNvPr>
                <xdr:cNvSpPr txBox="1"/>
              </xdr:nvSpPr>
              <xdr:spPr>
                <a:xfrm>
                  <a:off x="2052035" y="404768"/>
                  <a:ext cx="1042826" cy="25434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100"/>
                    <a:t>Average PM2.5</a:t>
                  </a:r>
                  <a:endParaRPr lang="en-NG" sz="1100"/>
                </a:p>
              </xdr:txBody>
            </xdr:sp>
            <xdr:sp macro="" textlink="">
              <xdr:nvSpPr>
                <xdr:cNvPr id="17" name="TextBox 16">
                  <a:extLst>
                    <a:ext uri="{FF2B5EF4-FFF2-40B4-BE49-F238E27FC236}">
                      <a16:creationId xmlns:a16="http://schemas.microsoft.com/office/drawing/2014/main" id="{E238C013-CC44-907A-D0A3-C6B23D9CD026}"/>
                    </a:ext>
                  </a:extLst>
                </xdr:cNvPr>
                <xdr:cNvSpPr txBox="1"/>
              </xdr:nvSpPr>
              <xdr:spPr>
                <a:xfrm>
                  <a:off x="3550906" y="485586"/>
                  <a:ext cx="2062561" cy="428203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3200"/>
                    <a:t>98</a:t>
                  </a:r>
                  <a:endParaRPr lang="en-NG" sz="3200"/>
                </a:p>
              </xdr:txBody>
            </xdr:sp>
            <xdr:sp macro="" textlink="">
              <xdr:nvSpPr>
                <xdr:cNvPr id="18" name="TextBox 17">
                  <a:extLst>
                    <a:ext uri="{FF2B5EF4-FFF2-40B4-BE49-F238E27FC236}">
                      <a16:creationId xmlns:a16="http://schemas.microsoft.com/office/drawing/2014/main" id="{A43890D7-F99F-9188-2A6C-B6DA086BC4AA}"/>
                    </a:ext>
                  </a:extLst>
                </xdr:cNvPr>
                <xdr:cNvSpPr txBox="1"/>
              </xdr:nvSpPr>
              <xdr:spPr>
                <a:xfrm>
                  <a:off x="2040490" y="983060"/>
                  <a:ext cx="1694125" cy="25433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/>
                    <a:t>WHO</a:t>
                  </a:r>
                  <a:r>
                    <a:rPr lang="en-US" sz="900" baseline="0"/>
                    <a:t> guideline exceeded </a:t>
                  </a:r>
                  <a:endParaRPr lang="en-NG" sz="900"/>
                </a:p>
              </xdr:txBody>
            </xdr:sp>
          </xdr:grpSp>
          <xdr:grpSp>
            <xdr:nvGrpSpPr>
              <xdr:cNvPr id="38" name="Group 37">
                <a:extLst>
                  <a:ext uri="{FF2B5EF4-FFF2-40B4-BE49-F238E27FC236}">
                    <a16:creationId xmlns:a16="http://schemas.microsoft.com/office/drawing/2014/main" id="{AA29E61F-7C9D-255B-ADD6-0B60ECFA2CD2}"/>
                  </a:ext>
                </a:extLst>
              </xdr:cNvPr>
              <xdr:cNvGrpSpPr/>
            </xdr:nvGrpSpPr>
            <xdr:grpSpPr>
              <a:xfrm>
                <a:off x="4348713" y="358588"/>
                <a:ext cx="3472653" cy="878811"/>
                <a:chOff x="4348713" y="358588"/>
                <a:chExt cx="3472653" cy="878811"/>
              </a:xfrm>
            </xdr:grpSpPr>
            <xdr:sp macro="" textlink="">
              <xdr:nvSpPr>
                <xdr:cNvPr id="5" name="Rectangle 4">
                  <a:extLst>
                    <a:ext uri="{FF2B5EF4-FFF2-40B4-BE49-F238E27FC236}">
                      <a16:creationId xmlns:a16="http://schemas.microsoft.com/office/drawing/2014/main" id="{F88B084A-D616-317F-8C45-0B2AE52B5355}"/>
                    </a:ext>
                  </a:extLst>
                </xdr:cNvPr>
                <xdr:cNvSpPr/>
              </xdr:nvSpPr>
              <xdr:spPr>
                <a:xfrm>
                  <a:off x="4348713" y="358588"/>
                  <a:ext cx="2289485" cy="854110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NG" sz="1100"/>
                </a:p>
              </xdr:txBody>
            </xdr:sp>
            <xdr:sp macro="" textlink="">
              <xdr:nvSpPr>
                <xdr:cNvPr id="19" name="TextBox 18">
                  <a:extLst>
                    <a:ext uri="{FF2B5EF4-FFF2-40B4-BE49-F238E27FC236}">
                      <a16:creationId xmlns:a16="http://schemas.microsoft.com/office/drawing/2014/main" id="{63EC4624-C5B1-4C89-90B8-B6899C8550D5}"/>
                    </a:ext>
                  </a:extLst>
                </xdr:cNvPr>
                <xdr:cNvSpPr txBox="1"/>
              </xdr:nvSpPr>
              <xdr:spPr>
                <a:xfrm>
                  <a:off x="4420550" y="404768"/>
                  <a:ext cx="1042826" cy="25434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100"/>
                    <a:t>Highest PM2.5</a:t>
                  </a:r>
                  <a:endParaRPr lang="en-NG" sz="1100"/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4B8CF163-40CB-1990-6B96-3E6939A3A160}"/>
                    </a:ext>
                  </a:extLst>
                </xdr:cNvPr>
                <xdr:cNvSpPr txBox="1"/>
              </xdr:nvSpPr>
              <xdr:spPr>
                <a:xfrm>
                  <a:off x="5752013" y="485586"/>
                  <a:ext cx="2069353" cy="428203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3200"/>
                    <a:t>475</a:t>
                  </a:r>
                  <a:endParaRPr lang="en-NG" sz="3200"/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4001AFE4-EF01-43B4-6F60-2563CAC6AD8F}"/>
                    </a:ext>
                  </a:extLst>
                </xdr:cNvPr>
                <xdr:cNvSpPr txBox="1"/>
              </xdr:nvSpPr>
              <xdr:spPr>
                <a:xfrm>
                  <a:off x="4426323" y="983060"/>
                  <a:ext cx="1694125" cy="25433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/>
                    <a:t>04 Jan</a:t>
                  </a:r>
                  <a:r>
                    <a:rPr lang="en-US" sz="900" baseline="0"/>
                    <a:t> 2023</a:t>
                  </a:r>
                  <a:endParaRPr lang="en-NG" sz="900"/>
                </a:p>
              </xdr:txBody>
            </xdr:sp>
          </xdr:grpSp>
          <xdr:grpSp>
            <xdr:nvGrpSpPr>
              <xdr:cNvPr id="39" name="Group 38">
                <a:extLst>
                  <a:ext uri="{FF2B5EF4-FFF2-40B4-BE49-F238E27FC236}">
                    <a16:creationId xmlns:a16="http://schemas.microsoft.com/office/drawing/2014/main" id="{17EDDC44-A294-B381-121B-3BC6571BC804}"/>
                  </a:ext>
                </a:extLst>
              </xdr:cNvPr>
              <xdr:cNvGrpSpPr/>
            </xdr:nvGrpSpPr>
            <xdr:grpSpPr>
              <a:xfrm>
                <a:off x="6772006" y="358588"/>
                <a:ext cx="3498694" cy="878811"/>
                <a:chOff x="6772006" y="358588"/>
                <a:chExt cx="3498694" cy="878811"/>
              </a:xfrm>
            </xdr:grpSpPr>
            <xdr:sp macro="" textlink="">
              <xdr:nvSpPr>
                <xdr:cNvPr id="3" name="Rectangle 2">
                  <a:extLst>
                    <a:ext uri="{FF2B5EF4-FFF2-40B4-BE49-F238E27FC236}">
                      <a16:creationId xmlns:a16="http://schemas.microsoft.com/office/drawing/2014/main" id="{4B44A3C4-3E11-E8A7-83BE-DCD89D67318C}"/>
                    </a:ext>
                  </a:extLst>
                </xdr:cNvPr>
                <xdr:cNvSpPr/>
              </xdr:nvSpPr>
              <xdr:spPr>
                <a:xfrm>
                  <a:off x="6772006" y="358588"/>
                  <a:ext cx="2289486" cy="854110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NG" sz="1100"/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852F5F43-F736-6BD6-0157-9EA482D331AC}"/>
                    </a:ext>
                  </a:extLst>
                </xdr:cNvPr>
                <xdr:cNvSpPr txBox="1"/>
              </xdr:nvSpPr>
              <xdr:spPr>
                <a:xfrm>
                  <a:off x="6789066" y="404768"/>
                  <a:ext cx="1049618" cy="25434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100"/>
                    <a:t>Unsafe</a:t>
                  </a:r>
                  <a:r>
                    <a:rPr lang="en-US" sz="1100" baseline="0"/>
                    <a:t> Days</a:t>
                  </a:r>
                  <a:endParaRPr lang="en-NG" sz="1100"/>
                </a:p>
              </xdr:txBody>
            </xdr:sp>
            <xdr:sp macro="" textlink="">
              <xdr:nvSpPr>
                <xdr:cNvPr id="29" name="TextBox 28">
                  <a:extLst>
                    <a:ext uri="{FF2B5EF4-FFF2-40B4-BE49-F238E27FC236}">
                      <a16:creationId xmlns:a16="http://schemas.microsoft.com/office/drawing/2014/main" id="{5D4BF376-D0C0-AB87-3456-486E02362E0F}"/>
                    </a:ext>
                  </a:extLst>
                </xdr:cNvPr>
                <xdr:cNvSpPr txBox="1"/>
              </xdr:nvSpPr>
              <xdr:spPr>
                <a:xfrm>
                  <a:off x="8201347" y="485586"/>
                  <a:ext cx="2069353" cy="428203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3200"/>
                    <a:t>96%</a:t>
                  </a:r>
                  <a:endParaRPr lang="en-NG" sz="3200"/>
                </a:p>
              </xdr:txBody>
            </xdr:sp>
            <xdr:sp macro="" textlink="">
              <xdr:nvSpPr>
                <xdr:cNvPr id="30" name="TextBox 29">
                  <a:extLst>
                    <a:ext uri="{FF2B5EF4-FFF2-40B4-BE49-F238E27FC236}">
                      <a16:creationId xmlns:a16="http://schemas.microsoft.com/office/drawing/2014/main" id="{AEDD6BA6-FE62-35A1-B817-494727AC055A}"/>
                    </a:ext>
                  </a:extLst>
                </xdr:cNvPr>
                <xdr:cNvSpPr txBox="1"/>
              </xdr:nvSpPr>
              <xdr:spPr>
                <a:xfrm>
                  <a:off x="6789066" y="983060"/>
                  <a:ext cx="1694126" cy="25433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/>
                    <a:t>641</a:t>
                  </a:r>
                  <a:r>
                    <a:rPr lang="en-US" sz="900" baseline="0"/>
                    <a:t> of 665 Days</a:t>
                  </a:r>
                  <a:endParaRPr lang="en-NG" sz="900"/>
                </a:p>
              </xdr:txBody>
            </xdr:sp>
          </xdr:grpSp>
          <xdr:grpSp>
            <xdr:nvGrpSpPr>
              <xdr:cNvPr id="40" name="Group 39">
                <a:extLst>
                  <a:ext uri="{FF2B5EF4-FFF2-40B4-BE49-F238E27FC236}">
                    <a16:creationId xmlns:a16="http://schemas.microsoft.com/office/drawing/2014/main" id="{B0FD5AB9-B57A-CF4E-185C-B9EC93D98D0A}"/>
                  </a:ext>
                </a:extLst>
              </xdr:cNvPr>
              <xdr:cNvGrpSpPr/>
            </xdr:nvGrpSpPr>
            <xdr:grpSpPr>
              <a:xfrm>
                <a:off x="9145003" y="358588"/>
                <a:ext cx="3429763" cy="878811"/>
                <a:chOff x="9145003" y="358588"/>
                <a:chExt cx="3429763" cy="878811"/>
              </a:xfrm>
            </xdr:grpSpPr>
            <xdr:sp macro="" textlink="">
              <xdr:nvSpPr>
                <xdr:cNvPr id="4" name="Rectangle 3">
                  <a:extLst>
                    <a:ext uri="{FF2B5EF4-FFF2-40B4-BE49-F238E27FC236}">
                      <a16:creationId xmlns:a16="http://schemas.microsoft.com/office/drawing/2014/main" id="{8BCF854F-8E97-6126-809E-183B41D632F5}"/>
                    </a:ext>
                  </a:extLst>
                </xdr:cNvPr>
                <xdr:cNvSpPr/>
              </xdr:nvSpPr>
              <xdr:spPr>
                <a:xfrm>
                  <a:off x="9145003" y="358588"/>
                  <a:ext cx="3081207" cy="854110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NG" sz="1100"/>
                </a:p>
              </xdr:txBody>
            </xdr:sp>
            <xdr:sp macro="" textlink="">
              <xdr:nvSpPr>
                <xdr:cNvPr id="31" name="TextBox 30">
                  <a:extLst>
                    <a:ext uri="{FF2B5EF4-FFF2-40B4-BE49-F238E27FC236}">
                      <a16:creationId xmlns:a16="http://schemas.microsoft.com/office/drawing/2014/main" id="{043FC5E7-946A-7431-5298-6231D6D936C3}"/>
                    </a:ext>
                  </a:extLst>
                </xdr:cNvPr>
                <xdr:cNvSpPr txBox="1"/>
              </xdr:nvSpPr>
              <xdr:spPr>
                <a:xfrm>
                  <a:off x="9225088" y="404768"/>
                  <a:ext cx="1551769" cy="25434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100"/>
                    <a:t>Longest</a:t>
                  </a:r>
                  <a:r>
                    <a:rPr lang="en-US" sz="1100" baseline="0"/>
                    <a:t> unsafe streaks</a:t>
                  </a:r>
                  <a:endParaRPr lang="en-NG" sz="1100"/>
                </a:p>
              </xdr:txBody>
            </xdr:sp>
            <xdr:sp macro="" textlink="">
              <xdr:nvSpPr>
                <xdr:cNvPr id="32" name="TextBox 31">
                  <a:extLst>
                    <a:ext uri="{FF2B5EF4-FFF2-40B4-BE49-F238E27FC236}">
                      <a16:creationId xmlns:a16="http://schemas.microsoft.com/office/drawing/2014/main" id="{16C36307-0469-1C21-3F07-52F960AA7B19}"/>
                    </a:ext>
                  </a:extLst>
                </xdr:cNvPr>
                <xdr:cNvSpPr txBox="1"/>
              </xdr:nvSpPr>
              <xdr:spPr>
                <a:xfrm>
                  <a:off x="10505412" y="485586"/>
                  <a:ext cx="2069354" cy="55084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3200"/>
                    <a:t>329 Days</a:t>
                  </a:r>
                  <a:endParaRPr lang="en-NG" sz="3200"/>
                </a:p>
              </xdr:txBody>
            </xdr:sp>
            <xdr:sp macro="" textlink="">
              <xdr:nvSpPr>
                <xdr:cNvPr id="33" name="TextBox 32">
                  <a:extLst>
                    <a:ext uri="{FF2B5EF4-FFF2-40B4-BE49-F238E27FC236}">
                      <a16:creationId xmlns:a16="http://schemas.microsoft.com/office/drawing/2014/main" id="{FC01EAFD-CC00-DFA5-7CD8-BD503BF49F7A}"/>
                    </a:ext>
                  </a:extLst>
                </xdr:cNvPr>
                <xdr:cNvSpPr txBox="1"/>
              </xdr:nvSpPr>
              <xdr:spPr>
                <a:xfrm>
                  <a:off x="9248415" y="983060"/>
                  <a:ext cx="1694126" cy="25433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/>
                    <a:t>Continuous</a:t>
                  </a:r>
                  <a:r>
                    <a:rPr lang="en-US" sz="900" baseline="0"/>
                    <a:t> Exposure</a:t>
                  </a:r>
                  <a:endParaRPr lang="en-NG" sz="900"/>
                </a:p>
              </xdr:txBody>
            </xdr:sp>
          </xdr:grpSp>
        </xdr:grpSp>
      </xdr:grp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67A5C367-6715-72A7-D56B-3842278E9289}"/>
              </a:ext>
            </a:extLst>
          </xdr:cNvPr>
          <xdr:cNvSpPr txBox="1"/>
        </xdr:nvSpPr>
        <xdr:spPr>
          <a:xfrm>
            <a:off x="10197753" y="1376714"/>
            <a:ext cx="1551771" cy="2470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INSIGHT</a:t>
            </a:r>
            <a:endParaRPr lang="en-NG" sz="1100" b="1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5E34429A-9B3C-AACF-A2FD-570DFAE3EFD5}"/>
              </a:ext>
            </a:extLst>
          </xdr:cNvPr>
          <xdr:cNvSpPr txBox="1"/>
        </xdr:nvSpPr>
        <xdr:spPr>
          <a:xfrm>
            <a:off x="9240050" y="1636974"/>
            <a:ext cx="2885628" cy="51152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Analysis of PM2.5 levels</a:t>
            </a:r>
            <a:r>
              <a:rPr lang="en-US" sz="1100" baseline="0"/>
              <a:t> in lagos between 2021 and 2023 shows that air quality was unsafe for most of the observed period.</a:t>
            </a:r>
          </a:p>
          <a:p>
            <a:endParaRPr lang="en-US" sz="1100" baseline="0"/>
          </a:p>
          <a:p>
            <a:r>
              <a:rPr lang="en-US" sz="1100" baseline="0"/>
              <a:t>The year 2021 recorded the highest average pollution levels and marked the beginning of a prolonged unsafe exposure streak lasting 329 days.</a:t>
            </a:r>
          </a:p>
          <a:p>
            <a:endParaRPr lang="en-US" sz="1100" baseline="0"/>
          </a:p>
          <a:p>
            <a:r>
              <a:rPr lang="en-US" sz="1100" baseline="0"/>
              <a:t>Seasonsal patterns indicate worse air quality during the early months of the year (january-February) and improved conditions towards November and December.</a:t>
            </a:r>
          </a:p>
          <a:p>
            <a:endParaRPr lang="en-US" sz="1100" baseline="0"/>
          </a:p>
          <a:p>
            <a:r>
              <a:rPr lang="en-US" sz="1100" b="1" baseline="0"/>
              <a:t>POLICY RECOMMENDATION</a:t>
            </a:r>
          </a:p>
          <a:p>
            <a:r>
              <a:rPr lang="en-US" sz="1100" b="0" baseline="0"/>
              <a:t>1. Increase monitoring during Jan-Feb</a:t>
            </a:r>
          </a:p>
          <a:p>
            <a:r>
              <a:rPr lang="en-US" sz="1100" b="0" baseline="0"/>
              <a:t>2. Implement seasonal Pollution controls.</a:t>
            </a:r>
          </a:p>
          <a:p>
            <a:r>
              <a:rPr lang="en-US" sz="1100" b="0" baseline="0"/>
              <a:t>3. Create more public awareness.</a:t>
            </a:r>
          </a:p>
          <a:p>
            <a:endParaRPr lang="en-US" sz="1100" b="1" baseline="0"/>
          </a:p>
          <a:p>
            <a:r>
              <a:rPr lang="en-US" sz="1100" b="1" baseline="0"/>
              <a:t>WHO GUIDELINES FOR PM2.5 LEVELS</a:t>
            </a:r>
          </a:p>
          <a:p>
            <a:r>
              <a:rPr lang="en-US" sz="11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Annual guideline: 5 µg/m³</a:t>
            </a:r>
          </a:p>
          <a:p>
            <a:r>
              <a:rPr lang="en-US" sz="11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24-hour guideline: 15 µg/m³</a:t>
            </a:r>
          </a:p>
          <a:p>
            <a:r>
              <a:rPr lang="en-US"/>
              <a:t>All recorded monthly averages exceed WHO recommended safe limits.</a:t>
            </a:r>
          </a:p>
          <a:p>
            <a:endParaRPr lang="en-US" sz="1100"/>
          </a:p>
          <a:p>
            <a:endParaRPr lang="en-US" sz="1100" b="1"/>
          </a:p>
          <a:p>
            <a:endParaRPr lang="en-US" sz="1100" b="1"/>
          </a:p>
          <a:p>
            <a:endParaRPr lang="en-US" sz="1100" b="1"/>
          </a:p>
          <a:p>
            <a:endParaRPr lang="en-US" sz="1100" b="1"/>
          </a:p>
          <a:p>
            <a:r>
              <a:rPr lang="en-US" sz="1100" b="1"/>
              <a:t>DATA SOURCE</a:t>
            </a:r>
          </a:p>
          <a:p>
            <a:r>
              <a:rPr lang="en-US" sz="1100" b="1"/>
              <a:t>Source</a:t>
            </a:r>
            <a:r>
              <a:rPr lang="en-US" sz="1100" b="0"/>
              <a:t>: OpenAfrica – Lagos Air Quality Dataset</a:t>
            </a:r>
          </a:p>
          <a:p>
            <a:r>
              <a:rPr lang="en-US" sz="1100" b="1"/>
              <a:t>Platform</a:t>
            </a:r>
            <a:r>
              <a:rPr lang="en-US" sz="1100" b="0"/>
              <a:t>: Kaggle</a:t>
            </a:r>
          </a:p>
          <a:p>
            <a:r>
              <a:rPr lang="en-US" sz="1100" b="1"/>
              <a:t>Period</a:t>
            </a:r>
            <a:r>
              <a:rPr lang="en-US" sz="1100" b="0"/>
              <a:t>: 2021–2023</a:t>
            </a:r>
          </a:p>
          <a:p>
            <a:r>
              <a:rPr lang="en-US" sz="1100" b="1"/>
              <a:t>Metric</a:t>
            </a:r>
            <a:r>
              <a:rPr lang="en-US" sz="1100" b="0"/>
              <a:t>: PM2.5 concentration (µg/m³)</a:t>
            </a:r>
            <a:endParaRPr lang="en-NG" sz="1100" b="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8.88146527778" createdVersion="8" refreshedVersion="8" minRefreshableVersion="3" recordCount="665" xr:uid="{D852525C-3D7F-4A1C-BC12-A642D6F8E193}">
  <cacheSource type="worksheet">
    <worksheetSource name="AirQuality"/>
  </cacheSource>
  <cacheFields count="12">
    <cacheField name="date" numFmtId="14">
      <sharedItems containsSemiMixedTypes="0" containsNonDate="0" containsDate="1" containsString="0" minDate="2021-01-04T00:00:00" maxDate="2023-04-05T00:00:00" count="665"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2-10T00:00:00"/>
        <d v="2022-12-12T00:00:00"/>
        <d v="2022-12-13T00:00:00"/>
        <d v="2022-12-14T00:00:00"/>
        <d v="2022-12-15T00:00:00"/>
        <d v="2022-12-16T00:00:00"/>
        <d v="2022-12-31T00:00:00"/>
        <d v="2023-01-01T00:00:00"/>
        <d v="2023-01-02T00:00:00"/>
        <d v="2023-01-03T00:00:00"/>
        <d v="2023-01-04T00:00:00"/>
        <d v="2023-01-12T00:00:00"/>
        <d v="2023-01-13T00:00:00"/>
        <d v="2023-01-17T00:00:00"/>
        <d v="2023-01-2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</sharedItems>
      <fieldGroup par="11"/>
    </cacheField>
    <cacheField name="pm25" numFmtId="0">
      <sharedItems containsSemiMixedTypes="0" containsString="0" containsNumber="1" containsInteger="1" minValue="1" maxValue="475" count="172">
        <n v="98"/>
        <n v="80"/>
        <n v="92"/>
        <n v="65"/>
        <n v="70"/>
        <n v="64"/>
        <n v="61"/>
        <n v="68"/>
        <n v="73"/>
        <n v="76"/>
        <n v="78"/>
        <n v="86"/>
        <n v="87"/>
        <n v="93"/>
        <n v="111"/>
        <n v="160"/>
        <n v="224"/>
        <n v="212"/>
        <n v="264"/>
        <n v="197"/>
        <n v="182"/>
        <n v="166"/>
        <n v="145"/>
        <n v="130"/>
        <n v="119"/>
        <n v="97"/>
        <n v="107"/>
        <n v="120"/>
        <n v="129"/>
        <n v="113"/>
        <n v="99"/>
        <n v="103"/>
        <n v="108"/>
        <n v="100"/>
        <n v="110"/>
        <n v="90"/>
        <n v="95"/>
        <n v="85"/>
        <n v="106"/>
        <n v="192"/>
        <n v="321"/>
        <n v="370"/>
        <n v="327"/>
        <n v="198"/>
        <n v="190"/>
        <n v="179"/>
        <n v="149"/>
        <n v="141"/>
        <n v="123"/>
        <n v="126"/>
        <n v="131"/>
        <n v="91"/>
        <n v="83"/>
        <n v="79"/>
        <n v="82"/>
        <n v="67"/>
        <n v="62"/>
        <n v="77"/>
        <n v="40"/>
        <n v="132"/>
        <n v="148"/>
        <n v="150"/>
        <n v="124"/>
        <n v="96"/>
        <n v="75"/>
        <n v="55"/>
        <n v="74"/>
        <n v="118"/>
        <n v="69"/>
        <n v="114"/>
        <n v="58"/>
        <n v="121"/>
        <n v="109"/>
        <n v="112"/>
        <n v="94"/>
        <n v="104"/>
        <n v="115"/>
        <n v="101"/>
        <n v="116"/>
        <n v="102"/>
        <n v="147"/>
        <n v="135"/>
        <n v="139"/>
        <n v="134"/>
        <n v="146"/>
        <n v="158"/>
        <n v="56"/>
        <n v="89"/>
        <n v="125"/>
        <n v="127"/>
        <n v="133"/>
        <n v="138"/>
        <n v="151"/>
        <n v="152"/>
        <n v="153"/>
        <n v="143"/>
        <n v="144"/>
        <n v="154"/>
        <n v="140"/>
        <n v="142"/>
        <n v="128"/>
        <n v="117"/>
        <n v="105"/>
        <n v="84"/>
        <n v="72"/>
        <n v="59"/>
        <n v="60"/>
        <n v="57"/>
        <n v="49"/>
        <n v="47"/>
        <n v="52"/>
        <n v="51"/>
        <n v="54"/>
        <n v="46"/>
        <n v="39"/>
        <n v="48"/>
        <n v="38"/>
        <n v="36"/>
        <n v="34"/>
        <n v="31"/>
        <n v="8"/>
        <n v="10"/>
        <n v="9"/>
        <n v="7"/>
        <n v="6"/>
        <n v="3"/>
        <n v="2"/>
        <n v="1"/>
        <n v="223"/>
        <n v="281"/>
        <n v="270"/>
        <n v="268"/>
        <n v="228"/>
        <n v="199"/>
        <n v="257"/>
        <n v="208"/>
        <n v="284"/>
        <n v="334"/>
        <n v="278"/>
        <n v="218"/>
        <n v="173"/>
        <n v="169"/>
        <n v="165"/>
        <n v="161"/>
        <n v="157"/>
        <n v="122"/>
        <n v="88"/>
        <n v="63"/>
        <n v="66"/>
        <n v="136"/>
        <n v="71"/>
        <n v="53"/>
        <n v="42"/>
        <n v="24"/>
        <n v="44"/>
        <n v="37"/>
        <n v="41"/>
        <n v="81"/>
        <n v="45"/>
        <n v="43"/>
        <n v="33"/>
        <n v="50"/>
        <n v="167"/>
        <n v="288"/>
        <n v="386"/>
        <n v="345"/>
        <n v="328"/>
        <n v="475"/>
        <n v="200"/>
        <n v="28"/>
        <n v="27"/>
        <n v="32"/>
      </sharedItems>
    </cacheField>
    <cacheField name="year" numFmtId="0">
      <sharedItems containsSemiMixedTypes="0" containsString="0" containsNumber="1" containsInteger="1" minValue="2021" maxValue="2023" count="3"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month_no" numFmtId="0">
      <sharedItems containsSemiMixedTypes="0" containsString="0" containsNumber="1" containsInteger="1" minValue="1" maxValue="12"/>
    </cacheField>
    <cacheField name="month/year" numFmtId="0">
      <sharedItems/>
    </cacheField>
    <cacheField name="quaterly" numFmtId="0">
      <sharedItems count="4">
        <s v="Q1"/>
        <s v="Q2"/>
        <s v="Q3"/>
        <s v="Q4"/>
      </sharedItems>
    </cacheField>
    <cacheField name="Air Quality Status" numFmtId="0">
      <sharedItems count="2">
        <s v="unsafe"/>
        <s v="safe"/>
      </sharedItems>
    </cacheField>
    <cacheField name="unsafe_streak" numFmtId="0">
      <sharedItems containsSemiMixedTypes="0" containsString="0" containsNumber="1" containsInteger="1" minValue="0" maxValue="0"/>
    </cacheField>
    <cacheField name="Months (date)" numFmtId="0" databaseField="0">
      <fieldGroup base="0">
        <rangePr groupBy="months" startDate="2021-01-04T00:00:00" endDate="2023-04-05T00:00:00"/>
        <groupItems count="14">
          <s v="&lt;04/01/202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5/04/2023"/>
        </groupItems>
      </fieldGroup>
    </cacheField>
    <cacheField name="Quarters (date)" numFmtId="0" databaseField="0">
      <fieldGroup base="0">
        <rangePr groupBy="quarters" startDate="2021-01-04T00:00:00" endDate="2023-04-05T00:00:00"/>
        <groupItems count="6">
          <s v="&lt;04/01/2021"/>
          <s v="Qtr1"/>
          <s v="Qtr2"/>
          <s v="Qtr3"/>
          <s v="Qtr4"/>
          <s v="&gt;05/04/2023"/>
        </groupItems>
      </fieldGroup>
    </cacheField>
    <cacheField name="Years (date)" numFmtId="0" databaseField="0">
      <fieldGroup base="0">
        <rangePr groupBy="years" startDate="2021-01-04T00:00:00" endDate="2023-04-05T00:00:00"/>
        <groupItems count="5">
          <s v="&lt;04/01/2021"/>
          <s v="2021"/>
          <s v="2022"/>
          <s v="2023"/>
          <s v="&gt;05/04/2023"/>
        </groupItems>
      </fieldGroup>
    </cacheField>
  </cacheFields>
  <extLst>
    <ext xmlns:x14="http://schemas.microsoft.com/office/spreadsheetml/2009/9/main" uri="{725AE2AE-9491-48be-B2B4-4EB974FC3084}">
      <x14:pivotCacheDefinition pivotCacheId="13507213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5">
  <r>
    <x v="0"/>
    <x v="0"/>
    <x v="0"/>
    <x v="0"/>
    <n v="1"/>
    <s v="Jan 2021"/>
    <x v="0"/>
    <x v="0"/>
    <n v="0"/>
  </r>
  <r>
    <x v="1"/>
    <x v="0"/>
    <x v="0"/>
    <x v="0"/>
    <n v="1"/>
    <s v="Jan 2021"/>
    <x v="0"/>
    <x v="0"/>
    <n v="0"/>
  </r>
  <r>
    <x v="2"/>
    <x v="1"/>
    <x v="0"/>
    <x v="0"/>
    <n v="1"/>
    <s v="Jan 2021"/>
    <x v="0"/>
    <x v="0"/>
    <n v="0"/>
  </r>
  <r>
    <x v="3"/>
    <x v="2"/>
    <x v="0"/>
    <x v="0"/>
    <n v="1"/>
    <s v="Jan 2021"/>
    <x v="0"/>
    <x v="0"/>
    <n v="0"/>
  </r>
  <r>
    <x v="4"/>
    <x v="3"/>
    <x v="0"/>
    <x v="0"/>
    <n v="1"/>
    <s v="Jan 2021"/>
    <x v="0"/>
    <x v="0"/>
    <n v="0"/>
  </r>
  <r>
    <x v="5"/>
    <x v="4"/>
    <x v="0"/>
    <x v="0"/>
    <n v="1"/>
    <s v="Jan 2021"/>
    <x v="0"/>
    <x v="0"/>
    <n v="0"/>
  </r>
  <r>
    <x v="6"/>
    <x v="5"/>
    <x v="0"/>
    <x v="0"/>
    <n v="1"/>
    <s v="Jan 2021"/>
    <x v="0"/>
    <x v="0"/>
    <n v="0"/>
  </r>
  <r>
    <x v="7"/>
    <x v="6"/>
    <x v="0"/>
    <x v="0"/>
    <n v="1"/>
    <s v="Jan 2021"/>
    <x v="0"/>
    <x v="0"/>
    <n v="0"/>
  </r>
  <r>
    <x v="8"/>
    <x v="7"/>
    <x v="0"/>
    <x v="0"/>
    <n v="1"/>
    <s v="Jan 2021"/>
    <x v="0"/>
    <x v="0"/>
    <n v="0"/>
  </r>
  <r>
    <x v="9"/>
    <x v="8"/>
    <x v="0"/>
    <x v="0"/>
    <n v="1"/>
    <s v="Jan 2021"/>
    <x v="0"/>
    <x v="0"/>
    <n v="0"/>
  </r>
  <r>
    <x v="10"/>
    <x v="7"/>
    <x v="0"/>
    <x v="0"/>
    <n v="1"/>
    <s v="Jan 2021"/>
    <x v="0"/>
    <x v="0"/>
    <n v="0"/>
  </r>
  <r>
    <x v="11"/>
    <x v="9"/>
    <x v="0"/>
    <x v="0"/>
    <n v="1"/>
    <s v="Jan 2021"/>
    <x v="0"/>
    <x v="0"/>
    <n v="0"/>
  </r>
  <r>
    <x v="12"/>
    <x v="10"/>
    <x v="0"/>
    <x v="0"/>
    <n v="1"/>
    <s v="Jan 2021"/>
    <x v="0"/>
    <x v="0"/>
    <n v="0"/>
  </r>
  <r>
    <x v="13"/>
    <x v="11"/>
    <x v="0"/>
    <x v="0"/>
    <n v="1"/>
    <s v="Jan 2021"/>
    <x v="0"/>
    <x v="0"/>
    <n v="0"/>
  </r>
  <r>
    <x v="14"/>
    <x v="12"/>
    <x v="0"/>
    <x v="0"/>
    <n v="1"/>
    <s v="Jan 2021"/>
    <x v="0"/>
    <x v="0"/>
    <n v="0"/>
  </r>
  <r>
    <x v="15"/>
    <x v="13"/>
    <x v="0"/>
    <x v="0"/>
    <n v="1"/>
    <s v="Jan 2021"/>
    <x v="0"/>
    <x v="0"/>
    <n v="0"/>
  </r>
  <r>
    <x v="16"/>
    <x v="14"/>
    <x v="0"/>
    <x v="0"/>
    <n v="1"/>
    <s v="Jan 2021"/>
    <x v="0"/>
    <x v="0"/>
    <n v="0"/>
  </r>
  <r>
    <x v="17"/>
    <x v="15"/>
    <x v="0"/>
    <x v="0"/>
    <n v="1"/>
    <s v="Jan 2021"/>
    <x v="0"/>
    <x v="0"/>
    <n v="0"/>
  </r>
  <r>
    <x v="18"/>
    <x v="16"/>
    <x v="0"/>
    <x v="0"/>
    <n v="1"/>
    <s v="Jan 2021"/>
    <x v="0"/>
    <x v="0"/>
    <n v="0"/>
  </r>
  <r>
    <x v="19"/>
    <x v="17"/>
    <x v="0"/>
    <x v="0"/>
    <n v="1"/>
    <s v="Jan 2021"/>
    <x v="0"/>
    <x v="0"/>
    <n v="0"/>
  </r>
  <r>
    <x v="20"/>
    <x v="18"/>
    <x v="0"/>
    <x v="0"/>
    <n v="1"/>
    <s v="Jan 2021"/>
    <x v="0"/>
    <x v="0"/>
    <n v="0"/>
  </r>
  <r>
    <x v="21"/>
    <x v="19"/>
    <x v="0"/>
    <x v="0"/>
    <n v="1"/>
    <s v="Jan 2021"/>
    <x v="0"/>
    <x v="0"/>
    <n v="0"/>
  </r>
  <r>
    <x v="22"/>
    <x v="20"/>
    <x v="0"/>
    <x v="0"/>
    <n v="1"/>
    <s v="Jan 2021"/>
    <x v="0"/>
    <x v="0"/>
    <n v="0"/>
  </r>
  <r>
    <x v="23"/>
    <x v="21"/>
    <x v="0"/>
    <x v="0"/>
    <n v="1"/>
    <s v="Jan 2021"/>
    <x v="0"/>
    <x v="0"/>
    <n v="0"/>
  </r>
  <r>
    <x v="24"/>
    <x v="22"/>
    <x v="0"/>
    <x v="0"/>
    <n v="1"/>
    <s v="Jan 2021"/>
    <x v="0"/>
    <x v="0"/>
    <n v="0"/>
  </r>
  <r>
    <x v="25"/>
    <x v="23"/>
    <x v="0"/>
    <x v="0"/>
    <n v="1"/>
    <s v="Jan 2021"/>
    <x v="0"/>
    <x v="0"/>
    <n v="0"/>
  </r>
  <r>
    <x v="26"/>
    <x v="24"/>
    <x v="0"/>
    <x v="0"/>
    <n v="1"/>
    <s v="Jan 2021"/>
    <x v="0"/>
    <x v="0"/>
    <n v="0"/>
  </r>
  <r>
    <x v="27"/>
    <x v="25"/>
    <x v="0"/>
    <x v="0"/>
    <n v="1"/>
    <s v="Jan 2021"/>
    <x v="0"/>
    <x v="0"/>
    <n v="0"/>
  </r>
  <r>
    <x v="28"/>
    <x v="26"/>
    <x v="0"/>
    <x v="1"/>
    <n v="2"/>
    <s v="Feb 2021"/>
    <x v="0"/>
    <x v="0"/>
    <n v="0"/>
  </r>
  <r>
    <x v="29"/>
    <x v="24"/>
    <x v="0"/>
    <x v="1"/>
    <n v="2"/>
    <s v="Feb 2021"/>
    <x v="0"/>
    <x v="0"/>
    <n v="0"/>
  </r>
  <r>
    <x v="30"/>
    <x v="27"/>
    <x v="0"/>
    <x v="1"/>
    <n v="2"/>
    <s v="Feb 2021"/>
    <x v="0"/>
    <x v="0"/>
    <n v="0"/>
  </r>
  <r>
    <x v="31"/>
    <x v="28"/>
    <x v="0"/>
    <x v="1"/>
    <n v="2"/>
    <s v="Feb 2021"/>
    <x v="0"/>
    <x v="0"/>
    <n v="0"/>
  </r>
  <r>
    <x v="32"/>
    <x v="29"/>
    <x v="0"/>
    <x v="1"/>
    <n v="2"/>
    <s v="Feb 2021"/>
    <x v="0"/>
    <x v="0"/>
    <n v="0"/>
  </r>
  <r>
    <x v="33"/>
    <x v="30"/>
    <x v="0"/>
    <x v="1"/>
    <n v="2"/>
    <s v="Feb 2021"/>
    <x v="0"/>
    <x v="0"/>
    <n v="0"/>
  </r>
  <r>
    <x v="34"/>
    <x v="31"/>
    <x v="0"/>
    <x v="1"/>
    <n v="2"/>
    <s v="Feb 2021"/>
    <x v="0"/>
    <x v="0"/>
    <n v="0"/>
  </r>
  <r>
    <x v="35"/>
    <x v="27"/>
    <x v="0"/>
    <x v="1"/>
    <n v="2"/>
    <s v="Feb 2021"/>
    <x v="0"/>
    <x v="0"/>
    <n v="0"/>
  </r>
  <r>
    <x v="36"/>
    <x v="32"/>
    <x v="0"/>
    <x v="1"/>
    <n v="2"/>
    <s v="Feb 2021"/>
    <x v="0"/>
    <x v="0"/>
    <n v="0"/>
  </r>
  <r>
    <x v="37"/>
    <x v="33"/>
    <x v="0"/>
    <x v="1"/>
    <n v="2"/>
    <s v="Feb 2021"/>
    <x v="0"/>
    <x v="0"/>
    <n v="0"/>
  </r>
  <r>
    <x v="38"/>
    <x v="34"/>
    <x v="0"/>
    <x v="1"/>
    <n v="2"/>
    <s v="Feb 2021"/>
    <x v="0"/>
    <x v="0"/>
    <n v="0"/>
  </r>
  <r>
    <x v="39"/>
    <x v="26"/>
    <x v="0"/>
    <x v="1"/>
    <n v="2"/>
    <s v="Feb 2021"/>
    <x v="0"/>
    <x v="0"/>
    <n v="0"/>
  </r>
  <r>
    <x v="40"/>
    <x v="29"/>
    <x v="0"/>
    <x v="1"/>
    <n v="2"/>
    <s v="Feb 2021"/>
    <x v="0"/>
    <x v="0"/>
    <n v="0"/>
  </r>
  <r>
    <x v="41"/>
    <x v="35"/>
    <x v="0"/>
    <x v="1"/>
    <n v="2"/>
    <s v="Feb 2021"/>
    <x v="0"/>
    <x v="0"/>
    <n v="0"/>
  </r>
  <r>
    <x v="42"/>
    <x v="36"/>
    <x v="0"/>
    <x v="1"/>
    <n v="2"/>
    <s v="Feb 2021"/>
    <x v="0"/>
    <x v="0"/>
    <n v="0"/>
  </r>
  <r>
    <x v="43"/>
    <x v="37"/>
    <x v="0"/>
    <x v="1"/>
    <n v="2"/>
    <s v="Feb 2021"/>
    <x v="0"/>
    <x v="0"/>
    <n v="0"/>
  </r>
  <r>
    <x v="44"/>
    <x v="38"/>
    <x v="0"/>
    <x v="1"/>
    <n v="2"/>
    <s v="Feb 2021"/>
    <x v="0"/>
    <x v="0"/>
    <n v="0"/>
  </r>
  <r>
    <x v="45"/>
    <x v="39"/>
    <x v="0"/>
    <x v="1"/>
    <n v="2"/>
    <s v="Feb 2021"/>
    <x v="0"/>
    <x v="0"/>
    <n v="0"/>
  </r>
  <r>
    <x v="46"/>
    <x v="40"/>
    <x v="0"/>
    <x v="1"/>
    <n v="2"/>
    <s v="Feb 2021"/>
    <x v="0"/>
    <x v="0"/>
    <n v="0"/>
  </r>
  <r>
    <x v="47"/>
    <x v="41"/>
    <x v="0"/>
    <x v="1"/>
    <n v="2"/>
    <s v="Feb 2021"/>
    <x v="0"/>
    <x v="0"/>
    <n v="0"/>
  </r>
  <r>
    <x v="48"/>
    <x v="42"/>
    <x v="0"/>
    <x v="1"/>
    <n v="2"/>
    <s v="Feb 2021"/>
    <x v="0"/>
    <x v="0"/>
    <n v="0"/>
  </r>
  <r>
    <x v="49"/>
    <x v="43"/>
    <x v="0"/>
    <x v="1"/>
    <n v="2"/>
    <s v="Feb 2021"/>
    <x v="0"/>
    <x v="0"/>
    <n v="0"/>
  </r>
  <r>
    <x v="50"/>
    <x v="44"/>
    <x v="0"/>
    <x v="1"/>
    <n v="2"/>
    <s v="Feb 2021"/>
    <x v="0"/>
    <x v="0"/>
    <n v="0"/>
  </r>
  <r>
    <x v="51"/>
    <x v="45"/>
    <x v="0"/>
    <x v="1"/>
    <n v="2"/>
    <s v="Feb 2021"/>
    <x v="0"/>
    <x v="0"/>
    <n v="0"/>
  </r>
  <r>
    <x v="52"/>
    <x v="21"/>
    <x v="0"/>
    <x v="1"/>
    <n v="2"/>
    <s v="Feb 2021"/>
    <x v="0"/>
    <x v="0"/>
    <n v="0"/>
  </r>
  <r>
    <x v="53"/>
    <x v="46"/>
    <x v="0"/>
    <x v="1"/>
    <n v="2"/>
    <s v="Feb 2021"/>
    <x v="0"/>
    <x v="0"/>
    <n v="0"/>
  </r>
  <r>
    <x v="54"/>
    <x v="47"/>
    <x v="0"/>
    <x v="1"/>
    <n v="2"/>
    <s v="Feb 2021"/>
    <x v="0"/>
    <x v="0"/>
    <n v="0"/>
  </r>
  <r>
    <x v="55"/>
    <x v="23"/>
    <x v="0"/>
    <x v="1"/>
    <n v="2"/>
    <s v="Feb 2021"/>
    <x v="0"/>
    <x v="0"/>
    <n v="0"/>
  </r>
  <r>
    <x v="56"/>
    <x v="48"/>
    <x v="0"/>
    <x v="2"/>
    <n v="3"/>
    <s v="Mar 2021"/>
    <x v="0"/>
    <x v="0"/>
    <n v="0"/>
  </r>
  <r>
    <x v="57"/>
    <x v="49"/>
    <x v="0"/>
    <x v="2"/>
    <n v="3"/>
    <s v="Mar 2021"/>
    <x v="0"/>
    <x v="0"/>
    <n v="0"/>
  </r>
  <r>
    <x v="58"/>
    <x v="50"/>
    <x v="0"/>
    <x v="2"/>
    <n v="3"/>
    <s v="Mar 2021"/>
    <x v="0"/>
    <x v="0"/>
    <n v="0"/>
  </r>
  <r>
    <x v="59"/>
    <x v="27"/>
    <x v="0"/>
    <x v="2"/>
    <n v="3"/>
    <s v="Mar 2021"/>
    <x v="0"/>
    <x v="0"/>
    <n v="0"/>
  </r>
  <r>
    <x v="60"/>
    <x v="14"/>
    <x v="0"/>
    <x v="2"/>
    <n v="3"/>
    <s v="Mar 2021"/>
    <x v="0"/>
    <x v="0"/>
    <n v="0"/>
  </r>
  <r>
    <x v="61"/>
    <x v="29"/>
    <x v="0"/>
    <x v="2"/>
    <n v="3"/>
    <s v="Mar 2021"/>
    <x v="0"/>
    <x v="0"/>
    <n v="0"/>
  </r>
  <r>
    <x v="62"/>
    <x v="51"/>
    <x v="0"/>
    <x v="2"/>
    <n v="3"/>
    <s v="Mar 2021"/>
    <x v="0"/>
    <x v="0"/>
    <n v="0"/>
  </r>
  <r>
    <x v="63"/>
    <x v="35"/>
    <x v="0"/>
    <x v="2"/>
    <n v="3"/>
    <s v="Mar 2021"/>
    <x v="0"/>
    <x v="0"/>
    <n v="0"/>
  </r>
  <r>
    <x v="64"/>
    <x v="10"/>
    <x v="0"/>
    <x v="2"/>
    <n v="3"/>
    <s v="Mar 2021"/>
    <x v="0"/>
    <x v="0"/>
    <n v="0"/>
  </r>
  <r>
    <x v="65"/>
    <x v="52"/>
    <x v="0"/>
    <x v="2"/>
    <n v="3"/>
    <s v="Mar 2021"/>
    <x v="0"/>
    <x v="0"/>
    <n v="0"/>
  </r>
  <r>
    <x v="66"/>
    <x v="53"/>
    <x v="0"/>
    <x v="2"/>
    <n v="3"/>
    <s v="Mar 2021"/>
    <x v="0"/>
    <x v="0"/>
    <n v="0"/>
  </r>
  <r>
    <x v="67"/>
    <x v="35"/>
    <x v="0"/>
    <x v="2"/>
    <n v="3"/>
    <s v="Mar 2021"/>
    <x v="0"/>
    <x v="0"/>
    <n v="0"/>
  </r>
  <r>
    <x v="68"/>
    <x v="11"/>
    <x v="0"/>
    <x v="2"/>
    <n v="3"/>
    <s v="Mar 2021"/>
    <x v="0"/>
    <x v="0"/>
    <n v="0"/>
  </r>
  <r>
    <x v="69"/>
    <x v="9"/>
    <x v="0"/>
    <x v="2"/>
    <n v="3"/>
    <s v="Mar 2021"/>
    <x v="0"/>
    <x v="0"/>
    <n v="0"/>
  </r>
  <r>
    <x v="70"/>
    <x v="54"/>
    <x v="0"/>
    <x v="2"/>
    <n v="3"/>
    <s v="Mar 2021"/>
    <x v="0"/>
    <x v="0"/>
    <n v="0"/>
  </r>
  <r>
    <x v="71"/>
    <x v="55"/>
    <x v="0"/>
    <x v="2"/>
    <n v="3"/>
    <s v="Mar 2021"/>
    <x v="0"/>
    <x v="0"/>
    <n v="0"/>
  </r>
  <r>
    <x v="72"/>
    <x v="11"/>
    <x v="0"/>
    <x v="2"/>
    <n v="3"/>
    <s v="Mar 2021"/>
    <x v="0"/>
    <x v="0"/>
    <n v="0"/>
  </r>
  <r>
    <x v="73"/>
    <x v="29"/>
    <x v="0"/>
    <x v="2"/>
    <n v="3"/>
    <s v="Mar 2021"/>
    <x v="0"/>
    <x v="0"/>
    <n v="0"/>
  </r>
  <r>
    <x v="74"/>
    <x v="24"/>
    <x v="0"/>
    <x v="2"/>
    <n v="3"/>
    <s v="Mar 2021"/>
    <x v="0"/>
    <x v="0"/>
    <n v="0"/>
  </r>
  <r>
    <x v="75"/>
    <x v="56"/>
    <x v="0"/>
    <x v="2"/>
    <n v="3"/>
    <s v="Mar 2021"/>
    <x v="0"/>
    <x v="0"/>
    <n v="0"/>
  </r>
  <r>
    <x v="76"/>
    <x v="56"/>
    <x v="0"/>
    <x v="2"/>
    <n v="3"/>
    <s v="Mar 2021"/>
    <x v="0"/>
    <x v="0"/>
    <n v="0"/>
  </r>
  <r>
    <x v="77"/>
    <x v="3"/>
    <x v="0"/>
    <x v="2"/>
    <n v="3"/>
    <s v="Mar 2021"/>
    <x v="0"/>
    <x v="0"/>
    <n v="0"/>
  </r>
  <r>
    <x v="78"/>
    <x v="57"/>
    <x v="0"/>
    <x v="2"/>
    <n v="3"/>
    <s v="Mar 2021"/>
    <x v="0"/>
    <x v="0"/>
    <n v="0"/>
  </r>
  <r>
    <x v="79"/>
    <x v="24"/>
    <x v="0"/>
    <x v="2"/>
    <n v="3"/>
    <s v="Mar 2021"/>
    <x v="0"/>
    <x v="0"/>
    <n v="0"/>
  </r>
  <r>
    <x v="80"/>
    <x v="58"/>
    <x v="0"/>
    <x v="2"/>
    <n v="3"/>
    <s v="Mar 2021"/>
    <x v="0"/>
    <x v="0"/>
    <n v="0"/>
  </r>
  <r>
    <x v="81"/>
    <x v="52"/>
    <x v="0"/>
    <x v="2"/>
    <n v="3"/>
    <s v="Mar 2021"/>
    <x v="0"/>
    <x v="0"/>
    <n v="0"/>
  </r>
  <r>
    <x v="82"/>
    <x v="27"/>
    <x v="0"/>
    <x v="2"/>
    <n v="3"/>
    <s v="Mar 2021"/>
    <x v="0"/>
    <x v="0"/>
    <n v="0"/>
  </r>
  <r>
    <x v="83"/>
    <x v="59"/>
    <x v="0"/>
    <x v="2"/>
    <n v="3"/>
    <s v="Mar 2021"/>
    <x v="0"/>
    <x v="0"/>
    <n v="0"/>
  </r>
  <r>
    <x v="84"/>
    <x v="60"/>
    <x v="0"/>
    <x v="2"/>
    <n v="3"/>
    <s v="Mar 2021"/>
    <x v="0"/>
    <x v="0"/>
    <n v="0"/>
  </r>
  <r>
    <x v="85"/>
    <x v="46"/>
    <x v="0"/>
    <x v="2"/>
    <n v="3"/>
    <s v="Mar 2021"/>
    <x v="0"/>
    <x v="0"/>
    <n v="0"/>
  </r>
  <r>
    <x v="86"/>
    <x v="61"/>
    <x v="0"/>
    <x v="3"/>
    <n v="4"/>
    <s v="Apr 2021"/>
    <x v="1"/>
    <x v="0"/>
    <n v="0"/>
  </r>
  <r>
    <x v="87"/>
    <x v="22"/>
    <x v="0"/>
    <x v="3"/>
    <n v="4"/>
    <s v="Apr 2021"/>
    <x v="1"/>
    <x v="0"/>
    <n v="0"/>
  </r>
  <r>
    <x v="88"/>
    <x v="22"/>
    <x v="0"/>
    <x v="3"/>
    <n v="4"/>
    <s v="Apr 2021"/>
    <x v="1"/>
    <x v="0"/>
    <n v="0"/>
  </r>
  <r>
    <x v="89"/>
    <x v="62"/>
    <x v="0"/>
    <x v="3"/>
    <n v="4"/>
    <s v="Apr 2021"/>
    <x v="1"/>
    <x v="0"/>
    <n v="0"/>
  </r>
  <r>
    <x v="90"/>
    <x v="63"/>
    <x v="0"/>
    <x v="3"/>
    <n v="4"/>
    <s v="Apr 2021"/>
    <x v="1"/>
    <x v="0"/>
    <n v="0"/>
  </r>
  <r>
    <x v="91"/>
    <x v="12"/>
    <x v="0"/>
    <x v="3"/>
    <n v="4"/>
    <s v="Apr 2021"/>
    <x v="1"/>
    <x v="0"/>
    <n v="0"/>
  </r>
  <r>
    <x v="92"/>
    <x v="0"/>
    <x v="0"/>
    <x v="3"/>
    <n v="4"/>
    <s v="Apr 2021"/>
    <x v="1"/>
    <x v="0"/>
    <n v="0"/>
  </r>
  <r>
    <x v="93"/>
    <x v="64"/>
    <x v="0"/>
    <x v="3"/>
    <n v="4"/>
    <s v="Apr 2021"/>
    <x v="1"/>
    <x v="0"/>
    <n v="0"/>
  </r>
  <r>
    <x v="94"/>
    <x v="3"/>
    <x v="0"/>
    <x v="3"/>
    <n v="4"/>
    <s v="Apr 2021"/>
    <x v="1"/>
    <x v="0"/>
    <n v="0"/>
  </r>
  <r>
    <x v="95"/>
    <x v="53"/>
    <x v="0"/>
    <x v="3"/>
    <n v="4"/>
    <s v="Apr 2021"/>
    <x v="1"/>
    <x v="0"/>
    <n v="0"/>
  </r>
  <r>
    <x v="96"/>
    <x v="8"/>
    <x v="0"/>
    <x v="3"/>
    <n v="4"/>
    <s v="Apr 2021"/>
    <x v="1"/>
    <x v="0"/>
    <n v="0"/>
  </r>
  <r>
    <x v="97"/>
    <x v="1"/>
    <x v="0"/>
    <x v="3"/>
    <n v="4"/>
    <s v="Apr 2021"/>
    <x v="1"/>
    <x v="0"/>
    <n v="0"/>
  </r>
  <r>
    <x v="98"/>
    <x v="65"/>
    <x v="0"/>
    <x v="3"/>
    <n v="4"/>
    <s v="Apr 2021"/>
    <x v="1"/>
    <x v="0"/>
    <n v="0"/>
  </r>
  <r>
    <x v="99"/>
    <x v="6"/>
    <x v="0"/>
    <x v="3"/>
    <n v="4"/>
    <s v="Apr 2021"/>
    <x v="1"/>
    <x v="0"/>
    <n v="0"/>
  </r>
  <r>
    <x v="100"/>
    <x v="66"/>
    <x v="0"/>
    <x v="3"/>
    <n v="4"/>
    <s v="Apr 2021"/>
    <x v="1"/>
    <x v="0"/>
    <n v="0"/>
  </r>
  <r>
    <x v="101"/>
    <x v="66"/>
    <x v="0"/>
    <x v="3"/>
    <n v="4"/>
    <s v="Apr 2021"/>
    <x v="1"/>
    <x v="0"/>
    <n v="0"/>
  </r>
  <r>
    <x v="102"/>
    <x v="63"/>
    <x v="0"/>
    <x v="3"/>
    <n v="4"/>
    <s v="Apr 2021"/>
    <x v="1"/>
    <x v="0"/>
    <n v="0"/>
  </r>
  <r>
    <x v="103"/>
    <x v="33"/>
    <x v="0"/>
    <x v="3"/>
    <n v="4"/>
    <s v="Apr 2021"/>
    <x v="1"/>
    <x v="0"/>
    <n v="0"/>
  </r>
  <r>
    <x v="104"/>
    <x v="67"/>
    <x v="0"/>
    <x v="3"/>
    <n v="4"/>
    <s v="Apr 2021"/>
    <x v="1"/>
    <x v="0"/>
    <n v="0"/>
  </r>
  <r>
    <x v="105"/>
    <x v="33"/>
    <x v="0"/>
    <x v="3"/>
    <n v="4"/>
    <s v="Apr 2021"/>
    <x v="1"/>
    <x v="0"/>
    <n v="0"/>
  </r>
  <r>
    <x v="106"/>
    <x v="7"/>
    <x v="0"/>
    <x v="3"/>
    <n v="4"/>
    <s v="Apr 2021"/>
    <x v="1"/>
    <x v="0"/>
    <n v="0"/>
  </r>
  <r>
    <x v="107"/>
    <x v="11"/>
    <x v="0"/>
    <x v="3"/>
    <n v="4"/>
    <s v="Apr 2021"/>
    <x v="1"/>
    <x v="0"/>
    <n v="0"/>
  </r>
  <r>
    <x v="108"/>
    <x v="37"/>
    <x v="0"/>
    <x v="3"/>
    <n v="4"/>
    <s v="Apr 2021"/>
    <x v="1"/>
    <x v="0"/>
    <n v="0"/>
  </r>
  <r>
    <x v="109"/>
    <x v="4"/>
    <x v="0"/>
    <x v="3"/>
    <n v="4"/>
    <s v="Apr 2021"/>
    <x v="1"/>
    <x v="0"/>
    <n v="0"/>
  </r>
  <r>
    <x v="110"/>
    <x v="68"/>
    <x v="0"/>
    <x v="3"/>
    <n v="4"/>
    <s v="Apr 2021"/>
    <x v="1"/>
    <x v="0"/>
    <n v="0"/>
  </r>
  <r>
    <x v="111"/>
    <x v="53"/>
    <x v="0"/>
    <x v="3"/>
    <n v="4"/>
    <s v="Apr 2021"/>
    <x v="1"/>
    <x v="0"/>
    <n v="0"/>
  </r>
  <r>
    <x v="112"/>
    <x v="66"/>
    <x v="0"/>
    <x v="3"/>
    <n v="4"/>
    <s v="Apr 2021"/>
    <x v="1"/>
    <x v="0"/>
    <n v="0"/>
  </r>
  <r>
    <x v="113"/>
    <x v="66"/>
    <x v="0"/>
    <x v="3"/>
    <n v="4"/>
    <s v="Apr 2021"/>
    <x v="1"/>
    <x v="0"/>
    <n v="0"/>
  </r>
  <r>
    <x v="114"/>
    <x v="69"/>
    <x v="0"/>
    <x v="3"/>
    <n v="4"/>
    <s v="Apr 2021"/>
    <x v="1"/>
    <x v="0"/>
    <n v="0"/>
  </r>
  <r>
    <x v="115"/>
    <x v="64"/>
    <x v="0"/>
    <x v="3"/>
    <n v="4"/>
    <s v="Apr 2021"/>
    <x v="1"/>
    <x v="0"/>
    <n v="0"/>
  </r>
  <r>
    <x v="116"/>
    <x v="6"/>
    <x v="0"/>
    <x v="4"/>
    <n v="5"/>
    <s v="May 2021"/>
    <x v="1"/>
    <x v="0"/>
    <n v="0"/>
  </r>
  <r>
    <x v="117"/>
    <x v="70"/>
    <x v="0"/>
    <x v="4"/>
    <n v="5"/>
    <s v="May 2021"/>
    <x v="1"/>
    <x v="0"/>
    <n v="0"/>
  </r>
  <r>
    <x v="118"/>
    <x v="8"/>
    <x v="0"/>
    <x v="4"/>
    <n v="5"/>
    <s v="May 2021"/>
    <x v="1"/>
    <x v="0"/>
    <n v="0"/>
  </r>
  <r>
    <x v="119"/>
    <x v="71"/>
    <x v="0"/>
    <x v="4"/>
    <n v="5"/>
    <s v="May 2021"/>
    <x v="1"/>
    <x v="0"/>
    <n v="0"/>
  </r>
  <r>
    <x v="120"/>
    <x v="72"/>
    <x v="0"/>
    <x v="4"/>
    <n v="5"/>
    <s v="May 2021"/>
    <x v="1"/>
    <x v="0"/>
    <n v="0"/>
  </r>
  <r>
    <x v="121"/>
    <x v="12"/>
    <x v="0"/>
    <x v="4"/>
    <n v="5"/>
    <s v="May 2021"/>
    <x v="1"/>
    <x v="0"/>
    <n v="0"/>
  </r>
  <r>
    <x v="122"/>
    <x v="69"/>
    <x v="0"/>
    <x v="4"/>
    <n v="5"/>
    <s v="May 2021"/>
    <x v="1"/>
    <x v="0"/>
    <n v="0"/>
  </r>
  <r>
    <x v="123"/>
    <x v="30"/>
    <x v="0"/>
    <x v="4"/>
    <n v="5"/>
    <s v="May 2021"/>
    <x v="1"/>
    <x v="0"/>
    <n v="0"/>
  </r>
  <r>
    <x v="124"/>
    <x v="73"/>
    <x v="0"/>
    <x v="4"/>
    <n v="5"/>
    <s v="May 2021"/>
    <x v="1"/>
    <x v="0"/>
    <n v="0"/>
  </r>
  <r>
    <x v="125"/>
    <x v="0"/>
    <x v="0"/>
    <x v="4"/>
    <n v="5"/>
    <s v="May 2021"/>
    <x v="1"/>
    <x v="0"/>
    <n v="0"/>
  </r>
  <r>
    <x v="126"/>
    <x v="11"/>
    <x v="0"/>
    <x v="4"/>
    <n v="5"/>
    <s v="May 2021"/>
    <x v="1"/>
    <x v="0"/>
    <n v="0"/>
  </r>
  <r>
    <x v="127"/>
    <x v="52"/>
    <x v="0"/>
    <x v="4"/>
    <n v="5"/>
    <s v="May 2021"/>
    <x v="1"/>
    <x v="0"/>
    <n v="0"/>
  </r>
  <r>
    <x v="128"/>
    <x v="14"/>
    <x v="0"/>
    <x v="4"/>
    <n v="5"/>
    <s v="May 2021"/>
    <x v="1"/>
    <x v="0"/>
    <n v="0"/>
  </r>
  <r>
    <x v="129"/>
    <x v="69"/>
    <x v="0"/>
    <x v="4"/>
    <n v="5"/>
    <s v="May 2021"/>
    <x v="1"/>
    <x v="0"/>
    <n v="0"/>
  </r>
  <r>
    <x v="130"/>
    <x v="74"/>
    <x v="0"/>
    <x v="4"/>
    <n v="5"/>
    <s v="May 2021"/>
    <x v="1"/>
    <x v="0"/>
    <n v="0"/>
  </r>
  <r>
    <x v="131"/>
    <x v="34"/>
    <x v="0"/>
    <x v="4"/>
    <n v="5"/>
    <s v="May 2021"/>
    <x v="1"/>
    <x v="0"/>
    <n v="0"/>
  </r>
  <r>
    <x v="132"/>
    <x v="33"/>
    <x v="0"/>
    <x v="4"/>
    <n v="5"/>
    <s v="May 2021"/>
    <x v="1"/>
    <x v="0"/>
    <n v="0"/>
  </r>
  <r>
    <x v="133"/>
    <x v="75"/>
    <x v="0"/>
    <x v="4"/>
    <n v="5"/>
    <s v="May 2021"/>
    <x v="1"/>
    <x v="0"/>
    <n v="0"/>
  </r>
  <r>
    <x v="134"/>
    <x v="76"/>
    <x v="0"/>
    <x v="4"/>
    <n v="5"/>
    <s v="May 2021"/>
    <x v="1"/>
    <x v="0"/>
    <n v="0"/>
  </r>
  <r>
    <x v="135"/>
    <x v="77"/>
    <x v="0"/>
    <x v="4"/>
    <n v="5"/>
    <s v="May 2021"/>
    <x v="1"/>
    <x v="0"/>
    <n v="0"/>
  </r>
  <r>
    <x v="136"/>
    <x v="36"/>
    <x v="0"/>
    <x v="4"/>
    <n v="5"/>
    <s v="May 2021"/>
    <x v="1"/>
    <x v="0"/>
    <n v="0"/>
  </r>
  <r>
    <x v="137"/>
    <x v="78"/>
    <x v="0"/>
    <x v="4"/>
    <n v="5"/>
    <s v="May 2021"/>
    <x v="1"/>
    <x v="0"/>
    <n v="0"/>
  </r>
  <r>
    <x v="138"/>
    <x v="71"/>
    <x v="0"/>
    <x v="4"/>
    <n v="5"/>
    <s v="May 2021"/>
    <x v="1"/>
    <x v="0"/>
    <n v="0"/>
  </r>
  <r>
    <x v="139"/>
    <x v="79"/>
    <x v="0"/>
    <x v="4"/>
    <n v="5"/>
    <s v="May 2021"/>
    <x v="1"/>
    <x v="0"/>
    <n v="0"/>
  </r>
  <r>
    <x v="140"/>
    <x v="14"/>
    <x v="0"/>
    <x v="4"/>
    <n v="5"/>
    <s v="May 2021"/>
    <x v="1"/>
    <x v="0"/>
    <n v="0"/>
  </r>
  <r>
    <x v="141"/>
    <x v="29"/>
    <x v="0"/>
    <x v="4"/>
    <n v="5"/>
    <s v="May 2021"/>
    <x v="1"/>
    <x v="0"/>
    <n v="0"/>
  </r>
  <r>
    <x v="142"/>
    <x v="76"/>
    <x v="0"/>
    <x v="4"/>
    <n v="5"/>
    <s v="May 2021"/>
    <x v="1"/>
    <x v="0"/>
    <n v="0"/>
  </r>
  <r>
    <x v="143"/>
    <x v="29"/>
    <x v="0"/>
    <x v="4"/>
    <n v="5"/>
    <s v="May 2021"/>
    <x v="1"/>
    <x v="0"/>
    <n v="0"/>
  </r>
  <r>
    <x v="144"/>
    <x v="76"/>
    <x v="0"/>
    <x v="4"/>
    <n v="5"/>
    <s v="May 2021"/>
    <x v="1"/>
    <x v="0"/>
    <n v="0"/>
  </r>
  <r>
    <x v="145"/>
    <x v="48"/>
    <x v="0"/>
    <x v="4"/>
    <n v="5"/>
    <s v="May 2021"/>
    <x v="1"/>
    <x v="0"/>
    <n v="0"/>
  </r>
  <r>
    <x v="146"/>
    <x v="59"/>
    <x v="0"/>
    <x v="4"/>
    <n v="5"/>
    <s v="May 2021"/>
    <x v="1"/>
    <x v="0"/>
    <n v="0"/>
  </r>
  <r>
    <x v="147"/>
    <x v="50"/>
    <x v="0"/>
    <x v="5"/>
    <n v="6"/>
    <s v="Jun 2021"/>
    <x v="1"/>
    <x v="0"/>
    <n v="0"/>
  </r>
  <r>
    <x v="148"/>
    <x v="80"/>
    <x v="0"/>
    <x v="5"/>
    <n v="6"/>
    <s v="Jun 2021"/>
    <x v="1"/>
    <x v="0"/>
    <n v="0"/>
  </r>
  <r>
    <x v="149"/>
    <x v="28"/>
    <x v="0"/>
    <x v="5"/>
    <n v="6"/>
    <s v="Jun 2021"/>
    <x v="1"/>
    <x v="0"/>
    <n v="0"/>
  </r>
  <r>
    <x v="150"/>
    <x v="81"/>
    <x v="0"/>
    <x v="5"/>
    <n v="6"/>
    <s v="Jun 2021"/>
    <x v="1"/>
    <x v="0"/>
    <n v="0"/>
  </r>
  <r>
    <x v="151"/>
    <x v="82"/>
    <x v="0"/>
    <x v="5"/>
    <n v="6"/>
    <s v="Jun 2021"/>
    <x v="1"/>
    <x v="0"/>
    <n v="0"/>
  </r>
  <r>
    <x v="152"/>
    <x v="83"/>
    <x v="0"/>
    <x v="5"/>
    <n v="6"/>
    <s v="Jun 2021"/>
    <x v="1"/>
    <x v="0"/>
    <n v="0"/>
  </r>
  <r>
    <x v="153"/>
    <x v="47"/>
    <x v="0"/>
    <x v="5"/>
    <n v="6"/>
    <s v="Jun 2021"/>
    <x v="1"/>
    <x v="0"/>
    <n v="0"/>
  </r>
  <r>
    <x v="154"/>
    <x v="60"/>
    <x v="0"/>
    <x v="5"/>
    <n v="6"/>
    <s v="Jun 2021"/>
    <x v="1"/>
    <x v="0"/>
    <n v="0"/>
  </r>
  <r>
    <x v="155"/>
    <x v="60"/>
    <x v="0"/>
    <x v="5"/>
    <n v="6"/>
    <s v="Jun 2021"/>
    <x v="1"/>
    <x v="0"/>
    <n v="0"/>
  </r>
  <r>
    <x v="156"/>
    <x v="84"/>
    <x v="0"/>
    <x v="5"/>
    <n v="6"/>
    <s v="Jun 2021"/>
    <x v="1"/>
    <x v="0"/>
    <n v="0"/>
  </r>
  <r>
    <x v="157"/>
    <x v="85"/>
    <x v="0"/>
    <x v="5"/>
    <n v="6"/>
    <s v="Jun 2021"/>
    <x v="1"/>
    <x v="0"/>
    <n v="0"/>
  </r>
  <r>
    <x v="158"/>
    <x v="60"/>
    <x v="0"/>
    <x v="5"/>
    <n v="6"/>
    <s v="Jun 2021"/>
    <x v="1"/>
    <x v="0"/>
    <n v="0"/>
  </r>
  <r>
    <x v="159"/>
    <x v="46"/>
    <x v="0"/>
    <x v="5"/>
    <n v="6"/>
    <s v="Jun 2021"/>
    <x v="1"/>
    <x v="0"/>
    <n v="0"/>
  </r>
  <r>
    <x v="160"/>
    <x v="60"/>
    <x v="0"/>
    <x v="5"/>
    <n v="6"/>
    <s v="Jun 2021"/>
    <x v="1"/>
    <x v="0"/>
    <n v="0"/>
  </r>
  <r>
    <x v="161"/>
    <x v="80"/>
    <x v="0"/>
    <x v="5"/>
    <n v="6"/>
    <s v="Jun 2021"/>
    <x v="1"/>
    <x v="0"/>
    <n v="0"/>
  </r>
  <r>
    <x v="162"/>
    <x v="60"/>
    <x v="0"/>
    <x v="5"/>
    <n v="6"/>
    <s v="Jun 2021"/>
    <x v="1"/>
    <x v="0"/>
    <n v="0"/>
  </r>
  <r>
    <x v="163"/>
    <x v="22"/>
    <x v="0"/>
    <x v="5"/>
    <n v="6"/>
    <s v="Jun 2021"/>
    <x v="1"/>
    <x v="0"/>
    <n v="0"/>
  </r>
  <r>
    <x v="164"/>
    <x v="86"/>
    <x v="0"/>
    <x v="5"/>
    <n v="6"/>
    <s v="Jun 2021"/>
    <x v="1"/>
    <x v="0"/>
    <n v="0"/>
  </r>
  <r>
    <x v="165"/>
    <x v="31"/>
    <x v="0"/>
    <x v="5"/>
    <n v="6"/>
    <s v="Jun 2021"/>
    <x v="1"/>
    <x v="0"/>
    <n v="0"/>
  </r>
  <r>
    <x v="166"/>
    <x v="1"/>
    <x v="0"/>
    <x v="5"/>
    <n v="6"/>
    <s v="Jun 2021"/>
    <x v="1"/>
    <x v="0"/>
    <n v="0"/>
  </r>
  <r>
    <x v="167"/>
    <x v="51"/>
    <x v="0"/>
    <x v="5"/>
    <n v="6"/>
    <s v="Jun 2021"/>
    <x v="1"/>
    <x v="0"/>
    <n v="0"/>
  </r>
  <r>
    <x v="168"/>
    <x v="63"/>
    <x v="0"/>
    <x v="5"/>
    <n v="6"/>
    <s v="Jun 2021"/>
    <x v="1"/>
    <x v="0"/>
    <n v="0"/>
  </r>
  <r>
    <x v="169"/>
    <x v="0"/>
    <x v="0"/>
    <x v="5"/>
    <n v="6"/>
    <s v="Jun 2021"/>
    <x v="1"/>
    <x v="0"/>
    <n v="0"/>
  </r>
  <r>
    <x v="170"/>
    <x v="0"/>
    <x v="0"/>
    <x v="5"/>
    <n v="6"/>
    <s v="Jun 2021"/>
    <x v="1"/>
    <x v="0"/>
    <n v="0"/>
  </r>
  <r>
    <x v="171"/>
    <x v="31"/>
    <x v="0"/>
    <x v="5"/>
    <n v="6"/>
    <s v="Jun 2021"/>
    <x v="1"/>
    <x v="0"/>
    <n v="0"/>
  </r>
  <r>
    <x v="172"/>
    <x v="1"/>
    <x v="0"/>
    <x v="5"/>
    <n v="6"/>
    <s v="Jun 2021"/>
    <x v="1"/>
    <x v="0"/>
    <n v="0"/>
  </r>
  <r>
    <x v="173"/>
    <x v="36"/>
    <x v="0"/>
    <x v="5"/>
    <n v="6"/>
    <s v="Jun 2021"/>
    <x v="1"/>
    <x v="0"/>
    <n v="0"/>
  </r>
  <r>
    <x v="174"/>
    <x v="51"/>
    <x v="0"/>
    <x v="6"/>
    <n v="7"/>
    <s v="Jul 2021"/>
    <x v="2"/>
    <x v="0"/>
    <n v="0"/>
  </r>
  <r>
    <x v="175"/>
    <x v="36"/>
    <x v="0"/>
    <x v="6"/>
    <n v="7"/>
    <s v="Jul 2021"/>
    <x v="2"/>
    <x v="0"/>
    <n v="0"/>
  </r>
  <r>
    <x v="176"/>
    <x v="75"/>
    <x v="0"/>
    <x v="6"/>
    <n v="7"/>
    <s v="Jul 2021"/>
    <x v="2"/>
    <x v="0"/>
    <n v="0"/>
  </r>
  <r>
    <x v="177"/>
    <x v="12"/>
    <x v="0"/>
    <x v="6"/>
    <n v="7"/>
    <s v="Jul 2021"/>
    <x v="2"/>
    <x v="0"/>
    <n v="0"/>
  </r>
  <r>
    <x v="178"/>
    <x v="51"/>
    <x v="0"/>
    <x v="6"/>
    <n v="7"/>
    <s v="Jul 2021"/>
    <x v="2"/>
    <x v="0"/>
    <n v="0"/>
  </r>
  <r>
    <x v="179"/>
    <x v="87"/>
    <x v="0"/>
    <x v="6"/>
    <n v="7"/>
    <s v="Jul 2021"/>
    <x v="2"/>
    <x v="0"/>
    <n v="0"/>
  </r>
  <r>
    <x v="180"/>
    <x v="29"/>
    <x v="0"/>
    <x v="6"/>
    <n v="7"/>
    <s v="Jul 2021"/>
    <x v="2"/>
    <x v="0"/>
    <n v="0"/>
  </r>
  <r>
    <x v="181"/>
    <x v="26"/>
    <x v="0"/>
    <x v="6"/>
    <n v="7"/>
    <s v="Jul 2021"/>
    <x v="2"/>
    <x v="0"/>
    <n v="0"/>
  </r>
  <r>
    <x v="182"/>
    <x v="75"/>
    <x v="0"/>
    <x v="6"/>
    <n v="7"/>
    <s v="Jul 2021"/>
    <x v="2"/>
    <x v="0"/>
    <n v="0"/>
  </r>
  <r>
    <x v="183"/>
    <x v="30"/>
    <x v="0"/>
    <x v="6"/>
    <n v="7"/>
    <s v="Jul 2021"/>
    <x v="2"/>
    <x v="0"/>
    <n v="0"/>
  </r>
  <r>
    <x v="184"/>
    <x v="73"/>
    <x v="0"/>
    <x v="6"/>
    <n v="7"/>
    <s v="Jul 2021"/>
    <x v="2"/>
    <x v="0"/>
    <n v="0"/>
  </r>
  <r>
    <x v="185"/>
    <x v="67"/>
    <x v="0"/>
    <x v="6"/>
    <n v="7"/>
    <s v="Jul 2021"/>
    <x v="2"/>
    <x v="0"/>
    <n v="0"/>
  </r>
  <r>
    <x v="186"/>
    <x v="48"/>
    <x v="0"/>
    <x v="6"/>
    <n v="7"/>
    <s v="Jul 2021"/>
    <x v="2"/>
    <x v="0"/>
    <n v="0"/>
  </r>
  <r>
    <x v="187"/>
    <x v="48"/>
    <x v="0"/>
    <x v="6"/>
    <n v="7"/>
    <s v="Jul 2021"/>
    <x v="2"/>
    <x v="0"/>
    <n v="0"/>
  </r>
  <r>
    <x v="188"/>
    <x v="88"/>
    <x v="0"/>
    <x v="6"/>
    <n v="7"/>
    <s v="Jul 2021"/>
    <x v="2"/>
    <x v="0"/>
    <n v="0"/>
  </r>
  <r>
    <x v="189"/>
    <x v="89"/>
    <x v="0"/>
    <x v="6"/>
    <n v="7"/>
    <s v="Jul 2021"/>
    <x v="2"/>
    <x v="0"/>
    <n v="0"/>
  </r>
  <r>
    <x v="190"/>
    <x v="28"/>
    <x v="0"/>
    <x v="6"/>
    <n v="7"/>
    <s v="Jul 2021"/>
    <x v="2"/>
    <x v="0"/>
    <n v="0"/>
  </r>
  <r>
    <x v="191"/>
    <x v="28"/>
    <x v="0"/>
    <x v="6"/>
    <n v="7"/>
    <s v="Jul 2021"/>
    <x v="2"/>
    <x v="0"/>
    <n v="0"/>
  </r>
  <r>
    <x v="192"/>
    <x v="48"/>
    <x v="0"/>
    <x v="6"/>
    <n v="7"/>
    <s v="Jul 2021"/>
    <x v="2"/>
    <x v="0"/>
    <n v="0"/>
  </r>
  <r>
    <x v="193"/>
    <x v="27"/>
    <x v="0"/>
    <x v="6"/>
    <n v="7"/>
    <s v="Jul 2021"/>
    <x v="2"/>
    <x v="0"/>
    <n v="0"/>
  </r>
  <r>
    <x v="194"/>
    <x v="62"/>
    <x v="0"/>
    <x v="6"/>
    <n v="7"/>
    <s v="Jul 2021"/>
    <x v="2"/>
    <x v="0"/>
    <n v="0"/>
  </r>
  <r>
    <x v="195"/>
    <x v="23"/>
    <x v="0"/>
    <x v="6"/>
    <n v="7"/>
    <s v="Jul 2021"/>
    <x v="2"/>
    <x v="0"/>
    <n v="0"/>
  </r>
  <r>
    <x v="196"/>
    <x v="90"/>
    <x v="0"/>
    <x v="6"/>
    <n v="7"/>
    <s v="Jul 2021"/>
    <x v="2"/>
    <x v="0"/>
    <n v="0"/>
  </r>
  <r>
    <x v="197"/>
    <x v="89"/>
    <x v="0"/>
    <x v="6"/>
    <n v="7"/>
    <s v="Jul 2021"/>
    <x v="2"/>
    <x v="0"/>
    <n v="0"/>
  </r>
  <r>
    <x v="198"/>
    <x v="50"/>
    <x v="0"/>
    <x v="6"/>
    <n v="7"/>
    <s v="Jul 2021"/>
    <x v="2"/>
    <x v="0"/>
    <n v="0"/>
  </r>
  <r>
    <x v="199"/>
    <x v="89"/>
    <x v="0"/>
    <x v="6"/>
    <n v="7"/>
    <s v="Jul 2021"/>
    <x v="2"/>
    <x v="0"/>
    <n v="0"/>
  </r>
  <r>
    <x v="200"/>
    <x v="91"/>
    <x v="0"/>
    <x v="6"/>
    <n v="7"/>
    <s v="Jul 2021"/>
    <x v="2"/>
    <x v="0"/>
    <n v="0"/>
  </r>
  <r>
    <x v="201"/>
    <x v="82"/>
    <x v="0"/>
    <x v="6"/>
    <n v="7"/>
    <s v="Jul 2021"/>
    <x v="2"/>
    <x v="0"/>
    <n v="0"/>
  </r>
  <r>
    <x v="202"/>
    <x v="60"/>
    <x v="0"/>
    <x v="6"/>
    <n v="7"/>
    <s v="Jul 2021"/>
    <x v="2"/>
    <x v="0"/>
    <n v="0"/>
  </r>
  <r>
    <x v="203"/>
    <x v="80"/>
    <x v="0"/>
    <x v="6"/>
    <n v="7"/>
    <s v="Jul 2021"/>
    <x v="2"/>
    <x v="0"/>
    <n v="0"/>
  </r>
  <r>
    <x v="204"/>
    <x v="84"/>
    <x v="0"/>
    <x v="6"/>
    <n v="7"/>
    <s v="Jul 2021"/>
    <x v="2"/>
    <x v="0"/>
    <n v="0"/>
  </r>
  <r>
    <x v="205"/>
    <x v="61"/>
    <x v="0"/>
    <x v="7"/>
    <n v="8"/>
    <s v="Aug 2021"/>
    <x v="2"/>
    <x v="0"/>
    <n v="0"/>
  </r>
  <r>
    <x v="206"/>
    <x v="61"/>
    <x v="0"/>
    <x v="7"/>
    <n v="8"/>
    <s v="Aug 2021"/>
    <x v="2"/>
    <x v="0"/>
    <n v="0"/>
  </r>
  <r>
    <x v="207"/>
    <x v="60"/>
    <x v="0"/>
    <x v="7"/>
    <n v="8"/>
    <s v="Aug 2021"/>
    <x v="2"/>
    <x v="0"/>
    <n v="0"/>
  </r>
  <r>
    <x v="208"/>
    <x v="46"/>
    <x v="0"/>
    <x v="7"/>
    <n v="8"/>
    <s v="Aug 2021"/>
    <x v="2"/>
    <x v="0"/>
    <n v="0"/>
  </r>
  <r>
    <x v="209"/>
    <x v="92"/>
    <x v="0"/>
    <x v="7"/>
    <n v="8"/>
    <s v="Aug 2021"/>
    <x v="2"/>
    <x v="0"/>
    <n v="0"/>
  </r>
  <r>
    <x v="210"/>
    <x v="92"/>
    <x v="0"/>
    <x v="7"/>
    <n v="8"/>
    <s v="Aug 2021"/>
    <x v="2"/>
    <x v="0"/>
    <n v="0"/>
  </r>
  <r>
    <x v="211"/>
    <x v="93"/>
    <x v="0"/>
    <x v="7"/>
    <n v="8"/>
    <s v="Aug 2021"/>
    <x v="2"/>
    <x v="0"/>
    <n v="0"/>
  </r>
  <r>
    <x v="212"/>
    <x v="93"/>
    <x v="0"/>
    <x v="7"/>
    <n v="8"/>
    <s v="Aug 2021"/>
    <x v="2"/>
    <x v="0"/>
    <n v="0"/>
  </r>
  <r>
    <x v="213"/>
    <x v="61"/>
    <x v="0"/>
    <x v="7"/>
    <n v="8"/>
    <s v="Aug 2021"/>
    <x v="2"/>
    <x v="0"/>
    <n v="0"/>
  </r>
  <r>
    <x v="214"/>
    <x v="93"/>
    <x v="0"/>
    <x v="7"/>
    <n v="8"/>
    <s v="Aug 2021"/>
    <x v="2"/>
    <x v="0"/>
    <n v="0"/>
  </r>
  <r>
    <x v="215"/>
    <x v="93"/>
    <x v="0"/>
    <x v="7"/>
    <n v="8"/>
    <s v="Aug 2021"/>
    <x v="2"/>
    <x v="0"/>
    <n v="0"/>
  </r>
  <r>
    <x v="216"/>
    <x v="93"/>
    <x v="0"/>
    <x v="7"/>
    <n v="8"/>
    <s v="Aug 2021"/>
    <x v="2"/>
    <x v="0"/>
    <n v="0"/>
  </r>
  <r>
    <x v="217"/>
    <x v="61"/>
    <x v="0"/>
    <x v="7"/>
    <n v="8"/>
    <s v="Aug 2021"/>
    <x v="2"/>
    <x v="0"/>
    <n v="0"/>
  </r>
  <r>
    <x v="218"/>
    <x v="61"/>
    <x v="0"/>
    <x v="7"/>
    <n v="8"/>
    <s v="Aug 2021"/>
    <x v="2"/>
    <x v="0"/>
    <n v="0"/>
  </r>
  <r>
    <x v="219"/>
    <x v="61"/>
    <x v="0"/>
    <x v="7"/>
    <n v="8"/>
    <s v="Aug 2021"/>
    <x v="2"/>
    <x v="0"/>
    <n v="0"/>
  </r>
  <r>
    <x v="220"/>
    <x v="61"/>
    <x v="0"/>
    <x v="7"/>
    <n v="8"/>
    <s v="Aug 2021"/>
    <x v="2"/>
    <x v="0"/>
    <n v="0"/>
  </r>
  <r>
    <x v="221"/>
    <x v="92"/>
    <x v="0"/>
    <x v="7"/>
    <n v="8"/>
    <s v="Aug 2021"/>
    <x v="2"/>
    <x v="0"/>
    <n v="0"/>
  </r>
  <r>
    <x v="222"/>
    <x v="92"/>
    <x v="0"/>
    <x v="7"/>
    <n v="8"/>
    <s v="Aug 2021"/>
    <x v="2"/>
    <x v="0"/>
    <n v="0"/>
  </r>
  <r>
    <x v="223"/>
    <x v="92"/>
    <x v="0"/>
    <x v="7"/>
    <n v="8"/>
    <s v="Aug 2021"/>
    <x v="2"/>
    <x v="0"/>
    <n v="0"/>
  </r>
  <r>
    <x v="224"/>
    <x v="92"/>
    <x v="0"/>
    <x v="7"/>
    <n v="8"/>
    <s v="Aug 2021"/>
    <x v="2"/>
    <x v="0"/>
    <n v="0"/>
  </r>
  <r>
    <x v="225"/>
    <x v="61"/>
    <x v="0"/>
    <x v="7"/>
    <n v="8"/>
    <s v="Aug 2021"/>
    <x v="2"/>
    <x v="0"/>
    <n v="0"/>
  </r>
  <r>
    <x v="226"/>
    <x v="92"/>
    <x v="0"/>
    <x v="7"/>
    <n v="8"/>
    <s v="Aug 2021"/>
    <x v="2"/>
    <x v="0"/>
    <n v="0"/>
  </r>
  <r>
    <x v="227"/>
    <x v="94"/>
    <x v="0"/>
    <x v="7"/>
    <n v="8"/>
    <s v="Aug 2021"/>
    <x v="2"/>
    <x v="0"/>
    <n v="0"/>
  </r>
  <r>
    <x v="228"/>
    <x v="84"/>
    <x v="0"/>
    <x v="7"/>
    <n v="8"/>
    <s v="Aug 2021"/>
    <x v="2"/>
    <x v="0"/>
    <n v="0"/>
  </r>
  <r>
    <x v="229"/>
    <x v="60"/>
    <x v="0"/>
    <x v="7"/>
    <n v="8"/>
    <s v="Aug 2021"/>
    <x v="2"/>
    <x v="0"/>
    <n v="0"/>
  </r>
  <r>
    <x v="230"/>
    <x v="92"/>
    <x v="0"/>
    <x v="7"/>
    <n v="8"/>
    <s v="Aug 2021"/>
    <x v="2"/>
    <x v="0"/>
    <n v="0"/>
  </r>
  <r>
    <x v="231"/>
    <x v="60"/>
    <x v="0"/>
    <x v="7"/>
    <n v="8"/>
    <s v="Aug 2021"/>
    <x v="2"/>
    <x v="0"/>
    <n v="0"/>
  </r>
  <r>
    <x v="232"/>
    <x v="60"/>
    <x v="0"/>
    <x v="7"/>
    <n v="8"/>
    <s v="Aug 2021"/>
    <x v="2"/>
    <x v="0"/>
    <n v="0"/>
  </r>
  <r>
    <x v="233"/>
    <x v="80"/>
    <x v="0"/>
    <x v="7"/>
    <n v="8"/>
    <s v="Aug 2021"/>
    <x v="2"/>
    <x v="0"/>
    <n v="0"/>
  </r>
  <r>
    <x v="234"/>
    <x v="60"/>
    <x v="0"/>
    <x v="7"/>
    <n v="8"/>
    <s v="Aug 2021"/>
    <x v="2"/>
    <x v="0"/>
    <n v="0"/>
  </r>
  <r>
    <x v="235"/>
    <x v="95"/>
    <x v="0"/>
    <x v="7"/>
    <n v="8"/>
    <s v="Aug 2021"/>
    <x v="2"/>
    <x v="0"/>
    <n v="0"/>
  </r>
  <r>
    <x v="236"/>
    <x v="96"/>
    <x v="0"/>
    <x v="8"/>
    <n v="9"/>
    <s v="Sept 2021"/>
    <x v="2"/>
    <x v="0"/>
    <n v="0"/>
  </r>
  <r>
    <x v="237"/>
    <x v="97"/>
    <x v="0"/>
    <x v="8"/>
    <n v="9"/>
    <s v="Sept 2021"/>
    <x v="2"/>
    <x v="0"/>
    <n v="0"/>
  </r>
  <r>
    <x v="238"/>
    <x v="97"/>
    <x v="0"/>
    <x v="8"/>
    <n v="9"/>
    <s v="Sept 2021"/>
    <x v="2"/>
    <x v="0"/>
    <n v="0"/>
  </r>
  <r>
    <x v="239"/>
    <x v="93"/>
    <x v="0"/>
    <x v="8"/>
    <n v="9"/>
    <s v="Sept 2021"/>
    <x v="2"/>
    <x v="0"/>
    <n v="0"/>
  </r>
  <r>
    <x v="240"/>
    <x v="61"/>
    <x v="0"/>
    <x v="8"/>
    <n v="9"/>
    <s v="Sept 2021"/>
    <x v="2"/>
    <x v="0"/>
    <n v="0"/>
  </r>
  <r>
    <x v="241"/>
    <x v="46"/>
    <x v="0"/>
    <x v="8"/>
    <n v="9"/>
    <s v="Sept 2021"/>
    <x v="2"/>
    <x v="0"/>
    <n v="0"/>
  </r>
  <r>
    <x v="242"/>
    <x v="84"/>
    <x v="0"/>
    <x v="8"/>
    <n v="9"/>
    <s v="Sept 2021"/>
    <x v="2"/>
    <x v="0"/>
    <n v="0"/>
  </r>
  <r>
    <x v="243"/>
    <x v="80"/>
    <x v="0"/>
    <x v="8"/>
    <n v="9"/>
    <s v="Sept 2021"/>
    <x v="2"/>
    <x v="0"/>
    <n v="0"/>
  </r>
  <r>
    <x v="244"/>
    <x v="84"/>
    <x v="0"/>
    <x v="8"/>
    <n v="9"/>
    <s v="Sept 2021"/>
    <x v="2"/>
    <x v="0"/>
    <n v="0"/>
  </r>
  <r>
    <x v="245"/>
    <x v="93"/>
    <x v="0"/>
    <x v="8"/>
    <n v="9"/>
    <s v="Sept 2021"/>
    <x v="2"/>
    <x v="0"/>
    <n v="0"/>
  </r>
  <r>
    <x v="246"/>
    <x v="92"/>
    <x v="0"/>
    <x v="8"/>
    <n v="9"/>
    <s v="Sept 2021"/>
    <x v="2"/>
    <x v="0"/>
    <n v="0"/>
  </r>
  <r>
    <x v="247"/>
    <x v="60"/>
    <x v="0"/>
    <x v="8"/>
    <n v="9"/>
    <s v="Sept 2021"/>
    <x v="2"/>
    <x v="0"/>
    <n v="0"/>
  </r>
  <r>
    <x v="248"/>
    <x v="61"/>
    <x v="0"/>
    <x v="8"/>
    <n v="9"/>
    <s v="Sept 2021"/>
    <x v="2"/>
    <x v="0"/>
    <n v="0"/>
  </r>
  <r>
    <x v="249"/>
    <x v="80"/>
    <x v="0"/>
    <x v="8"/>
    <n v="9"/>
    <s v="Sept 2021"/>
    <x v="2"/>
    <x v="0"/>
    <n v="0"/>
  </r>
  <r>
    <x v="250"/>
    <x v="61"/>
    <x v="0"/>
    <x v="8"/>
    <n v="9"/>
    <s v="Sept 2021"/>
    <x v="2"/>
    <x v="0"/>
    <n v="0"/>
  </r>
  <r>
    <x v="251"/>
    <x v="96"/>
    <x v="0"/>
    <x v="8"/>
    <n v="9"/>
    <s v="Sept 2021"/>
    <x v="2"/>
    <x v="0"/>
    <n v="0"/>
  </r>
  <r>
    <x v="252"/>
    <x v="98"/>
    <x v="0"/>
    <x v="8"/>
    <n v="9"/>
    <s v="Sept 2021"/>
    <x v="2"/>
    <x v="0"/>
    <n v="0"/>
  </r>
  <r>
    <x v="253"/>
    <x v="95"/>
    <x v="0"/>
    <x v="8"/>
    <n v="9"/>
    <s v="Sept 2021"/>
    <x v="2"/>
    <x v="0"/>
    <n v="0"/>
  </r>
  <r>
    <x v="254"/>
    <x v="46"/>
    <x v="0"/>
    <x v="8"/>
    <n v="9"/>
    <s v="Sept 2021"/>
    <x v="2"/>
    <x v="0"/>
    <n v="0"/>
  </r>
  <r>
    <x v="255"/>
    <x v="96"/>
    <x v="0"/>
    <x v="8"/>
    <n v="9"/>
    <s v="Sept 2021"/>
    <x v="2"/>
    <x v="0"/>
    <n v="0"/>
  </r>
  <r>
    <x v="256"/>
    <x v="61"/>
    <x v="0"/>
    <x v="8"/>
    <n v="9"/>
    <s v="Sept 2021"/>
    <x v="2"/>
    <x v="0"/>
    <n v="0"/>
  </r>
  <r>
    <x v="257"/>
    <x v="47"/>
    <x v="0"/>
    <x v="8"/>
    <n v="9"/>
    <s v="Sept 2021"/>
    <x v="2"/>
    <x v="0"/>
    <n v="0"/>
  </r>
  <r>
    <x v="258"/>
    <x v="91"/>
    <x v="0"/>
    <x v="8"/>
    <n v="9"/>
    <s v="Sept 2021"/>
    <x v="2"/>
    <x v="0"/>
    <n v="0"/>
  </r>
  <r>
    <x v="259"/>
    <x v="99"/>
    <x v="0"/>
    <x v="8"/>
    <n v="9"/>
    <s v="Sept 2021"/>
    <x v="2"/>
    <x v="0"/>
    <n v="0"/>
  </r>
  <r>
    <x v="260"/>
    <x v="98"/>
    <x v="0"/>
    <x v="8"/>
    <n v="9"/>
    <s v="Sept 2021"/>
    <x v="2"/>
    <x v="0"/>
    <n v="0"/>
  </r>
  <r>
    <x v="261"/>
    <x v="59"/>
    <x v="0"/>
    <x v="8"/>
    <n v="9"/>
    <s v="Sept 2021"/>
    <x v="2"/>
    <x v="0"/>
    <n v="0"/>
  </r>
  <r>
    <x v="262"/>
    <x v="50"/>
    <x v="0"/>
    <x v="8"/>
    <n v="9"/>
    <s v="Sept 2021"/>
    <x v="2"/>
    <x v="0"/>
    <n v="0"/>
  </r>
  <r>
    <x v="263"/>
    <x v="62"/>
    <x v="0"/>
    <x v="8"/>
    <n v="9"/>
    <s v="Sept 2021"/>
    <x v="2"/>
    <x v="0"/>
    <n v="0"/>
  </r>
  <r>
    <x v="264"/>
    <x v="81"/>
    <x v="0"/>
    <x v="8"/>
    <n v="9"/>
    <s v="Sept 2021"/>
    <x v="2"/>
    <x v="0"/>
    <n v="0"/>
  </r>
  <r>
    <x v="265"/>
    <x v="24"/>
    <x v="0"/>
    <x v="9"/>
    <n v="10"/>
    <s v="Oct 2021"/>
    <x v="3"/>
    <x v="0"/>
    <n v="0"/>
  </r>
  <r>
    <x v="266"/>
    <x v="49"/>
    <x v="0"/>
    <x v="9"/>
    <n v="10"/>
    <s v="Oct 2021"/>
    <x v="3"/>
    <x v="0"/>
    <n v="0"/>
  </r>
  <r>
    <x v="267"/>
    <x v="71"/>
    <x v="0"/>
    <x v="9"/>
    <n v="10"/>
    <s v="Oct 2021"/>
    <x v="3"/>
    <x v="0"/>
    <n v="0"/>
  </r>
  <r>
    <x v="268"/>
    <x v="78"/>
    <x v="0"/>
    <x v="9"/>
    <n v="10"/>
    <s v="Oct 2021"/>
    <x v="3"/>
    <x v="0"/>
    <n v="0"/>
  </r>
  <r>
    <x v="269"/>
    <x v="100"/>
    <x v="0"/>
    <x v="9"/>
    <n v="10"/>
    <s v="Oct 2021"/>
    <x v="3"/>
    <x v="0"/>
    <n v="0"/>
  </r>
  <r>
    <x v="270"/>
    <x v="28"/>
    <x v="0"/>
    <x v="9"/>
    <n v="10"/>
    <s v="Oct 2021"/>
    <x v="3"/>
    <x v="0"/>
    <n v="0"/>
  </r>
  <r>
    <x v="271"/>
    <x v="27"/>
    <x v="0"/>
    <x v="9"/>
    <n v="10"/>
    <s v="Oct 2021"/>
    <x v="3"/>
    <x v="0"/>
    <n v="0"/>
  </r>
  <r>
    <x v="272"/>
    <x v="78"/>
    <x v="0"/>
    <x v="9"/>
    <n v="10"/>
    <s v="Oct 2021"/>
    <x v="3"/>
    <x v="0"/>
    <n v="0"/>
  </r>
  <r>
    <x v="273"/>
    <x v="29"/>
    <x v="0"/>
    <x v="9"/>
    <n v="10"/>
    <s v="Oct 2021"/>
    <x v="3"/>
    <x v="0"/>
    <n v="0"/>
  </r>
  <r>
    <x v="274"/>
    <x v="29"/>
    <x v="0"/>
    <x v="9"/>
    <n v="10"/>
    <s v="Oct 2021"/>
    <x v="3"/>
    <x v="0"/>
    <n v="0"/>
  </r>
  <r>
    <x v="275"/>
    <x v="101"/>
    <x v="0"/>
    <x v="9"/>
    <n v="10"/>
    <s v="Oct 2021"/>
    <x v="3"/>
    <x v="0"/>
    <n v="0"/>
  </r>
  <r>
    <x v="276"/>
    <x v="24"/>
    <x v="0"/>
    <x v="9"/>
    <n v="10"/>
    <s v="Oct 2021"/>
    <x v="3"/>
    <x v="0"/>
    <n v="0"/>
  </r>
  <r>
    <x v="277"/>
    <x v="26"/>
    <x v="0"/>
    <x v="9"/>
    <n v="10"/>
    <s v="Oct 2021"/>
    <x v="3"/>
    <x v="0"/>
    <n v="0"/>
  </r>
  <r>
    <x v="278"/>
    <x v="26"/>
    <x v="0"/>
    <x v="9"/>
    <n v="10"/>
    <s v="Oct 2021"/>
    <x v="3"/>
    <x v="0"/>
    <n v="0"/>
  </r>
  <r>
    <x v="279"/>
    <x v="31"/>
    <x v="0"/>
    <x v="9"/>
    <n v="10"/>
    <s v="Oct 2021"/>
    <x v="3"/>
    <x v="0"/>
    <n v="0"/>
  </r>
  <r>
    <x v="280"/>
    <x v="101"/>
    <x v="0"/>
    <x v="9"/>
    <n v="10"/>
    <s v="Oct 2021"/>
    <x v="3"/>
    <x v="0"/>
    <n v="0"/>
  </r>
  <r>
    <x v="281"/>
    <x v="69"/>
    <x v="0"/>
    <x v="9"/>
    <n v="10"/>
    <s v="Oct 2021"/>
    <x v="3"/>
    <x v="0"/>
    <n v="0"/>
  </r>
  <r>
    <x v="282"/>
    <x v="72"/>
    <x v="0"/>
    <x v="9"/>
    <n v="10"/>
    <s v="Oct 2021"/>
    <x v="3"/>
    <x v="0"/>
    <n v="0"/>
  </r>
  <r>
    <x v="283"/>
    <x v="27"/>
    <x v="0"/>
    <x v="9"/>
    <n v="10"/>
    <s v="Oct 2021"/>
    <x v="3"/>
    <x v="0"/>
    <n v="0"/>
  </r>
  <r>
    <x v="284"/>
    <x v="67"/>
    <x v="0"/>
    <x v="9"/>
    <n v="10"/>
    <s v="Oct 2021"/>
    <x v="3"/>
    <x v="0"/>
    <n v="0"/>
  </r>
  <r>
    <x v="285"/>
    <x v="14"/>
    <x v="0"/>
    <x v="9"/>
    <n v="10"/>
    <s v="Oct 2021"/>
    <x v="3"/>
    <x v="0"/>
    <n v="0"/>
  </r>
  <r>
    <x v="286"/>
    <x v="72"/>
    <x v="0"/>
    <x v="9"/>
    <n v="10"/>
    <s v="Oct 2021"/>
    <x v="3"/>
    <x v="0"/>
    <n v="0"/>
  </r>
  <r>
    <x v="287"/>
    <x v="14"/>
    <x v="0"/>
    <x v="9"/>
    <n v="10"/>
    <s v="Oct 2021"/>
    <x v="3"/>
    <x v="0"/>
    <n v="0"/>
  </r>
  <r>
    <x v="288"/>
    <x v="31"/>
    <x v="0"/>
    <x v="9"/>
    <n v="10"/>
    <s v="Oct 2021"/>
    <x v="3"/>
    <x v="0"/>
    <n v="0"/>
  </r>
  <r>
    <x v="289"/>
    <x v="51"/>
    <x v="0"/>
    <x v="9"/>
    <n v="10"/>
    <s v="Oct 2021"/>
    <x v="3"/>
    <x v="0"/>
    <n v="0"/>
  </r>
  <r>
    <x v="290"/>
    <x v="79"/>
    <x v="0"/>
    <x v="9"/>
    <n v="10"/>
    <s v="Oct 2021"/>
    <x v="3"/>
    <x v="0"/>
    <n v="0"/>
  </r>
  <r>
    <x v="291"/>
    <x v="87"/>
    <x v="0"/>
    <x v="9"/>
    <n v="10"/>
    <s v="Oct 2021"/>
    <x v="3"/>
    <x v="0"/>
    <n v="0"/>
  </r>
  <r>
    <x v="292"/>
    <x v="77"/>
    <x v="0"/>
    <x v="9"/>
    <n v="10"/>
    <s v="Oct 2021"/>
    <x v="3"/>
    <x v="0"/>
    <n v="0"/>
  </r>
  <r>
    <x v="293"/>
    <x v="102"/>
    <x v="0"/>
    <x v="9"/>
    <n v="10"/>
    <s v="Oct 2021"/>
    <x v="3"/>
    <x v="0"/>
    <n v="0"/>
  </r>
  <r>
    <x v="294"/>
    <x v="0"/>
    <x v="0"/>
    <x v="9"/>
    <n v="10"/>
    <s v="Oct 2021"/>
    <x v="3"/>
    <x v="0"/>
    <n v="0"/>
  </r>
  <r>
    <x v="295"/>
    <x v="12"/>
    <x v="0"/>
    <x v="9"/>
    <n v="10"/>
    <s v="Oct 2021"/>
    <x v="3"/>
    <x v="0"/>
    <n v="0"/>
  </r>
  <r>
    <x v="296"/>
    <x v="1"/>
    <x v="0"/>
    <x v="10"/>
    <n v="11"/>
    <s v="Nov 2021"/>
    <x v="3"/>
    <x v="0"/>
    <n v="0"/>
  </r>
  <r>
    <x v="297"/>
    <x v="35"/>
    <x v="0"/>
    <x v="10"/>
    <n v="11"/>
    <s v="Nov 2021"/>
    <x v="3"/>
    <x v="0"/>
    <n v="0"/>
  </r>
  <r>
    <x v="298"/>
    <x v="103"/>
    <x v="0"/>
    <x v="10"/>
    <n v="11"/>
    <s v="Nov 2021"/>
    <x v="3"/>
    <x v="0"/>
    <n v="0"/>
  </r>
  <r>
    <x v="299"/>
    <x v="11"/>
    <x v="0"/>
    <x v="10"/>
    <n v="11"/>
    <s v="Nov 2021"/>
    <x v="3"/>
    <x v="0"/>
    <n v="0"/>
  </r>
  <r>
    <x v="300"/>
    <x v="54"/>
    <x v="0"/>
    <x v="10"/>
    <n v="11"/>
    <s v="Nov 2021"/>
    <x v="3"/>
    <x v="0"/>
    <n v="0"/>
  </r>
  <r>
    <x v="301"/>
    <x v="104"/>
    <x v="0"/>
    <x v="10"/>
    <n v="11"/>
    <s v="Nov 2021"/>
    <x v="3"/>
    <x v="0"/>
    <n v="0"/>
  </r>
  <r>
    <x v="302"/>
    <x v="8"/>
    <x v="0"/>
    <x v="10"/>
    <n v="11"/>
    <s v="Nov 2021"/>
    <x v="3"/>
    <x v="0"/>
    <n v="0"/>
  </r>
  <r>
    <x v="303"/>
    <x v="68"/>
    <x v="0"/>
    <x v="10"/>
    <n v="11"/>
    <s v="Nov 2021"/>
    <x v="3"/>
    <x v="0"/>
    <n v="0"/>
  </r>
  <r>
    <x v="304"/>
    <x v="5"/>
    <x v="0"/>
    <x v="10"/>
    <n v="11"/>
    <s v="Nov 2021"/>
    <x v="3"/>
    <x v="0"/>
    <n v="0"/>
  </r>
  <r>
    <x v="305"/>
    <x v="105"/>
    <x v="0"/>
    <x v="10"/>
    <n v="11"/>
    <s v="Nov 2021"/>
    <x v="3"/>
    <x v="0"/>
    <n v="0"/>
  </r>
  <r>
    <x v="306"/>
    <x v="3"/>
    <x v="0"/>
    <x v="10"/>
    <n v="11"/>
    <s v="Nov 2021"/>
    <x v="3"/>
    <x v="0"/>
    <n v="0"/>
  </r>
  <r>
    <x v="307"/>
    <x v="6"/>
    <x v="0"/>
    <x v="10"/>
    <n v="11"/>
    <s v="Nov 2021"/>
    <x v="3"/>
    <x v="0"/>
    <n v="0"/>
  </r>
  <r>
    <x v="308"/>
    <x v="106"/>
    <x v="0"/>
    <x v="10"/>
    <n v="11"/>
    <s v="Nov 2021"/>
    <x v="3"/>
    <x v="0"/>
    <n v="0"/>
  </r>
  <r>
    <x v="309"/>
    <x v="107"/>
    <x v="0"/>
    <x v="10"/>
    <n v="11"/>
    <s v="Nov 2021"/>
    <x v="3"/>
    <x v="0"/>
    <n v="0"/>
  </r>
  <r>
    <x v="310"/>
    <x v="70"/>
    <x v="0"/>
    <x v="10"/>
    <n v="11"/>
    <s v="Nov 2021"/>
    <x v="3"/>
    <x v="0"/>
    <n v="0"/>
  </r>
  <r>
    <x v="311"/>
    <x v="108"/>
    <x v="0"/>
    <x v="10"/>
    <n v="11"/>
    <s v="Nov 2021"/>
    <x v="3"/>
    <x v="0"/>
    <n v="0"/>
  </r>
  <r>
    <x v="312"/>
    <x v="109"/>
    <x v="0"/>
    <x v="10"/>
    <n v="11"/>
    <s v="Nov 2021"/>
    <x v="3"/>
    <x v="0"/>
    <n v="0"/>
  </r>
  <r>
    <x v="313"/>
    <x v="110"/>
    <x v="0"/>
    <x v="10"/>
    <n v="11"/>
    <s v="Nov 2021"/>
    <x v="3"/>
    <x v="0"/>
    <n v="0"/>
  </r>
  <r>
    <x v="314"/>
    <x v="111"/>
    <x v="0"/>
    <x v="10"/>
    <n v="11"/>
    <s v="Nov 2021"/>
    <x v="3"/>
    <x v="0"/>
    <n v="0"/>
  </r>
  <r>
    <x v="315"/>
    <x v="112"/>
    <x v="0"/>
    <x v="10"/>
    <n v="11"/>
    <s v="Nov 2021"/>
    <x v="3"/>
    <x v="0"/>
    <n v="0"/>
  </r>
  <r>
    <x v="316"/>
    <x v="108"/>
    <x v="0"/>
    <x v="10"/>
    <n v="11"/>
    <s v="Nov 2021"/>
    <x v="3"/>
    <x v="0"/>
    <n v="0"/>
  </r>
  <r>
    <x v="317"/>
    <x v="113"/>
    <x v="0"/>
    <x v="10"/>
    <n v="11"/>
    <s v="Nov 2021"/>
    <x v="3"/>
    <x v="0"/>
    <n v="0"/>
  </r>
  <r>
    <x v="318"/>
    <x v="109"/>
    <x v="0"/>
    <x v="10"/>
    <n v="11"/>
    <s v="Nov 2021"/>
    <x v="3"/>
    <x v="0"/>
    <n v="0"/>
  </r>
  <r>
    <x v="319"/>
    <x v="110"/>
    <x v="0"/>
    <x v="10"/>
    <n v="11"/>
    <s v="Nov 2021"/>
    <x v="3"/>
    <x v="0"/>
    <n v="0"/>
  </r>
  <r>
    <x v="320"/>
    <x v="114"/>
    <x v="0"/>
    <x v="10"/>
    <n v="11"/>
    <s v="Nov 2021"/>
    <x v="3"/>
    <x v="0"/>
    <n v="0"/>
  </r>
  <r>
    <x v="321"/>
    <x v="113"/>
    <x v="0"/>
    <x v="10"/>
    <n v="11"/>
    <s v="Nov 2021"/>
    <x v="3"/>
    <x v="0"/>
    <n v="0"/>
  </r>
  <r>
    <x v="322"/>
    <x v="115"/>
    <x v="0"/>
    <x v="10"/>
    <n v="11"/>
    <s v="Nov 2021"/>
    <x v="3"/>
    <x v="0"/>
    <n v="0"/>
  </r>
  <r>
    <x v="323"/>
    <x v="116"/>
    <x v="0"/>
    <x v="10"/>
    <n v="11"/>
    <s v="Nov 2021"/>
    <x v="3"/>
    <x v="0"/>
    <n v="0"/>
  </r>
  <r>
    <x v="324"/>
    <x v="58"/>
    <x v="0"/>
    <x v="10"/>
    <n v="11"/>
    <s v="Nov 2021"/>
    <x v="3"/>
    <x v="0"/>
    <n v="0"/>
  </r>
  <r>
    <x v="325"/>
    <x v="117"/>
    <x v="0"/>
    <x v="10"/>
    <n v="11"/>
    <s v="Nov 2021"/>
    <x v="3"/>
    <x v="0"/>
    <n v="0"/>
  </r>
  <r>
    <x v="326"/>
    <x v="118"/>
    <x v="0"/>
    <x v="11"/>
    <n v="12"/>
    <s v="Dec 2021"/>
    <x v="3"/>
    <x v="0"/>
    <n v="0"/>
  </r>
  <r>
    <x v="327"/>
    <x v="118"/>
    <x v="0"/>
    <x v="11"/>
    <n v="12"/>
    <s v="Dec 2021"/>
    <x v="3"/>
    <x v="0"/>
    <n v="0"/>
  </r>
  <r>
    <x v="328"/>
    <x v="119"/>
    <x v="0"/>
    <x v="11"/>
    <n v="12"/>
    <s v="Dec 2021"/>
    <x v="3"/>
    <x v="0"/>
    <n v="0"/>
  </r>
  <r>
    <x v="329"/>
    <x v="120"/>
    <x v="0"/>
    <x v="11"/>
    <n v="12"/>
    <s v="Dec 2021"/>
    <x v="3"/>
    <x v="1"/>
    <n v="0"/>
  </r>
  <r>
    <x v="330"/>
    <x v="121"/>
    <x v="0"/>
    <x v="11"/>
    <n v="12"/>
    <s v="Dec 2021"/>
    <x v="3"/>
    <x v="1"/>
    <n v="0"/>
  </r>
  <r>
    <x v="331"/>
    <x v="122"/>
    <x v="0"/>
    <x v="11"/>
    <n v="12"/>
    <s v="Dec 2021"/>
    <x v="3"/>
    <x v="1"/>
    <n v="0"/>
  </r>
  <r>
    <x v="332"/>
    <x v="123"/>
    <x v="0"/>
    <x v="11"/>
    <n v="12"/>
    <s v="Dec 2021"/>
    <x v="3"/>
    <x v="1"/>
    <n v="0"/>
  </r>
  <r>
    <x v="333"/>
    <x v="123"/>
    <x v="0"/>
    <x v="11"/>
    <n v="12"/>
    <s v="Dec 2021"/>
    <x v="3"/>
    <x v="1"/>
    <n v="0"/>
  </r>
  <r>
    <x v="334"/>
    <x v="124"/>
    <x v="0"/>
    <x v="11"/>
    <n v="12"/>
    <s v="Dec 2021"/>
    <x v="3"/>
    <x v="1"/>
    <n v="0"/>
  </r>
  <r>
    <x v="335"/>
    <x v="124"/>
    <x v="0"/>
    <x v="11"/>
    <n v="12"/>
    <s v="Dec 2021"/>
    <x v="3"/>
    <x v="1"/>
    <n v="0"/>
  </r>
  <r>
    <x v="336"/>
    <x v="125"/>
    <x v="0"/>
    <x v="11"/>
    <n v="12"/>
    <s v="Dec 2021"/>
    <x v="3"/>
    <x v="1"/>
    <n v="0"/>
  </r>
  <r>
    <x v="337"/>
    <x v="126"/>
    <x v="0"/>
    <x v="11"/>
    <n v="12"/>
    <s v="Dec 2021"/>
    <x v="3"/>
    <x v="1"/>
    <n v="0"/>
  </r>
  <r>
    <x v="338"/>
    <x v="126"/>
    <x v="0"/>
    <x v="11"/>
    <n v="12"/>
    <s v="Dec 2021"/>
    <x v="3"/>
    <x v="1"/>
    <n v="0"/>
  </r>
  <r>
    <x v="339"/>
    <x v="126"/>
    <x v="0"/>
    <x v="11"/>
    <n v="12"/>
    <s v="Dec 2021"/>
    <x v="3"/>
    <x v="1"/>
    <n v="0"/>
  </r>
  <r>
    <x v="340"/>
    <x v="127"/>
    <x v="0"/>
    <x v="11"/>
    <n v="12"/>
    <s v="Dec 2021"/>
    <x v="3"/>
    <x v="1"/>
    <n v="0"/>
  </r>
  <r>
    <x v="341"/>
    <x v="127"/>
    <x v="0"/>
    <x v="11"/>
    <n v="12"/>
    <s v="Dec 2021"/>
    <x v="3"/>
    <x v="1"/>
    <n v="0"/>
  </r>
  <r>
    <x v="342"/>
    <x v="127"/>
    <x v="0"/>
    <x v="11"/>
    <n v="12"/>
    <s v="Dec 2021"/>
    <x v="3"/>
    <x v="1"/>
    <n v="0"/>
  </r>
  <r>
    <x v="343"/>
    <x v="127"/>
    <x v="0"/>
    <x v="11"/>
    <n v="12"/>
    <s v="Dec 2021"/>
    <x v="3"/>
    <x v="1"/>
    <n v="0"/>
  </r>
  <r>
    <x v="344"/>
    <x v="127"/>
    <x v="0"/>
    <x v="11"/>
    <n v="12"/>
    <s v="Dec 2021"/>
    <x v="3"/>
    <x v="1"/>
    <n v="0"/>
  </r>
  <r>
    <x v="345"/>
    <x v="127"/>
    <x v="0"/>
    <x v="11"/>
    <n v="12"/>
    <s v="Dec 2021"/>
    <x v="3"/>
    <x v="1"/>
    <n v="0"/>
  </r>
  <r>
    <x v="346"/>
    <x v="127"/>
    <x v="0"/>
    <x v="11"/>
    <n v="12"/>
    <s v="Dec 2021"/>
    <x v="3"/>
    <x v="1"/>
    <n v="0"/>
  </r>
  <r>
    <x v="347"/>
    <x v="127"/>
    <x v="0"/>
    <x v="11"/>
    <n v="12"/>
    <s v="Dec 2021"/>
    <x v="3"/>
    <x v="1"/>
    <n v="0"/>
  </r>
  <r>
    <x v="348"/>
    <x v="127"/>
    <x v="1"/>
    <x v="0"/>
    <n v="1"/>
    <s v="Jan 2022"/>
    <x v="0"/>
    <x v="1"/>
    <n v="0"/>
  </r>
  <r>
    <x v="349"/>
    <x v="127"/>
    <x v="1"/>
    <x v="0"/>
    <n v="1"/>
    <s v="Jan 2022"/>
    <x v="0"/>
    <x v="1"/>
    <n v="0"/>
  </r>
  <r>
    <x v="350"/>
    <x v="127"/>
    <x v="1"/>
    <x v="0"/>
    <n v="1"/>
    <s v="Jan 2022"/>
    <x v="0"/>
    <x v="1"/>
    <n v="0"/>
  </r>
  <r>
    <x v="351"/>
    <x v="47"/>
    <x v="1"/>
    <x v="0"/>
    <n v="1"/>
    <s v="Jan 2022"/>
    <x v="0"/>
    <x v="0"/>
    <n v="0"/>
  </r>
  <r>
    <x v="352"/>
    <x v="93"/>
    <x v="1"/>
    <x v="0"/>
    <n v="1"/>
    <s v="Jan 2022"/>
    <x v="0"/>
    <x v="0"/>
    <n v="0"/>
  </r>
  <r>
    <x v="353"/>
    <x v="23"/>
    <x v="1"/>
    <x v="0"/>
    <n v="1"/>
    <s v="Jan 2022"/>
    <x v="0"/>
    <x v="0"/>
    <n v="0"/>
  </r>
  <r>
    <x v="354"/>
    <x v="49"/>
    <x v="1"/>
    <x v="0"/>
    <n v="1"/>
    <s v="Jan 2022"/>
    <x v="0"/>
    <x v="0"/>
    <n v="0"/>
  </r>
  <r>
    <x v="355"/>
    <x v="23"/>
    <x v="1"/>
    <x v="0"/>
    <n v="1"/>
    <s v="Jan 2022"/>
    <x v="0"/>
    <x v="0"/>
    <n v="0"/>
  </r>
  <r>
    <x v="356"/>
    <x v="83"/>
    <x v="1"/>
    <x v="0"/>
    <n v="1"/>
    <s v="Jan 2022"/>
    <x v="0"/>
    <x v="0"/>
    <n v="0"/>
  </r>
  <r>
    <x v="357"/>
    <x v="48"/>
    <x v="1"/>
    <x v="0"/>
    <n v="1"/>
    <s v="Jan 2022"/>
    <x v="0"/>
    <x v="0"/>
    <n v="0"/>
  </r>
  <r>
    <x v="358"/>
    <x v="101"/>
    <x v="1"/>
    <x v="0"/>
    <n v="1"/>
    <s v="Jan 2022"/>
    <x v="0"/>
    <x v="0"/>
    <n v="0"/>
  </r>
  <r>
    <x v="359"/>
    <x v="88"/>
    <x v="1"/>
    <x v="0"/>
    <n v="1"/>
    <s v="Jan 2022"/>
    <x v="0"/>
    <x v="0"/>
    <n v="0"/>
  </r>
  <r>
    <x v="360"/>
    <x v="15"/>
    <x v="1"/>
    <x v="0"/>
    <n v="1"/>
    <s v="Jan 2022"/>
    <x v="0"/>
    <x v="0"/>
    <n v="0"/>
  </r>
  <r>
    <x v="361"/>
    <x v="128"/>
    <x v="1"/>
    <x v="0"/>
    <n v="1"/>
    <s v="Jan 2022"/>
    <x v="0"/>
    <x v="0"/>
    <n v="0"/>
  </r>
  <r>
    <x v="362"/>
    <x v="129"/>
    <x v="1"/>
    <x v="0"/>
    <n v="1"/>
    <s v="Jan 2022"/>
    <x v="0"/>
    <x v="0"/>
    <n v="0"/>
  </r>
  <r>
    <x v="363"/>
    <x v="130"/>
    <x v="1"/>
    <x v="0"/>
    <n v="1"/>
    <s v="Jan 2022"/>
    <x v="0"/>
    <x v="0"/>
    <n v="0"/>
  </r>
  <r>
    <x v="364"/>
    <x v="131"/>
    <x v="1"/>
    <x v="0"/>
    <n v="1"/>
    <s v="Jan 2022"/>
    <x v="0"/>
    <x v="0"/>
    <n v="0"/>
  </r>
  <r>
    <x v="365"/>
    <x v="132"/>
    <x v="1"/>
    <x v="0"/>
    <n v="1"/>
    <s v="Jan 2022"/>
    <x v="0"/>
    <x v="0"/>
    <n v="0"/>
  </r>
  <r>
    <x v="366"/>
    <x v="133"/>
    <x v="1"/>
    <x v="0"/>
    <n v="1"/>
    <s v="Jan 2022"/>
    <x v="0"/>
    <x v="0"/>
    <n v="0"/>
  </r>
  <r>
    <x v="367"/>
    <x v="18"/>
    <x v="1"/>
    <x v="0"/>
    <n v="1"/>
    <s v="Jan 2022"/>
    <x v="0"/>
    <x v="0"/>
    <n v="0"/>
  </r>
  <r>
    <x v="368"/>
    <x v="134"/>
    <x v="1"/>
    <x v="0"/>
    <n v="1"/>
    <s v="Jan 2022"/>
    <x v="0"/>
    <x v="0"/>
    <n v="0"/>
  </r>
  <r>
    <x v="369"/>
    <x v="135"/>
    <x v="1"/>
    <x v="0"/>
    <n v="1"/>
    <s v="Jan 2022"/>
    <x v="0"/>
    <x v="0"/>
    <n v="0"/>
  </r>
  <r>
    <x v="370"/>
    <x v="136"/>
    <x v="1"/>
    <x v="0"/>
    <n v="1"/>
    <s v="Jan 2022"/>
    <x v="0"/>
    <x v="0"/>
    <n v="0"/>
  </r>
  <r>
    <x v="371"/>
    <x v="137"/>
    <x v="1"/>
    <x v="0"/>
    <n v="1"/>
    <s v="Jan 2022"/>
    <x v="0"/>
    <x v="0"/>
    <n v="0"/>
  </r>
  <r>
    <x v="372"/>
    <x v="138"/>
    <x v="1"/>
    <x v="0"/>
    <n v="1"/>
    <s v="Jan 2022"/>
    <x v="0"/>
    <x v="0"/>
    <n v="0"/>
  </r>
  <r>
    <x v="373"/>
    <x v="134"/>
    <x v="1"/>
    <x v="1"/>
    <n v="2"/>
    <s v="Feb 2022"/>
    <x v="0"/>
    <x v="0"/>
    <n v="0"/>
  </r>
  <r>
    <x v="374"/>
    <x v="139"/>
    <x v="1"/>
    <x v="1"/>
    <n v="2"/>
    <s v="Feb 2022"/>
    <x v="0"/>
    <x v="0"/>
    <n v="0"/>
  </r>
  <r>
    <x v="375"/>
    <x v="39"/>
    <x v="1"/>
    <x v="1"/>
    <n v="2"/>
    <s v="Feb 2022"/>
    <x v="0"/>
    <x v="0"/>
    <n v="0"/>
  </r>
  <r>
    <x v="376"/>
    <x v="140"/>
    <x v="1"/>
    <x v="1"/>
    <n v="2"/>
    <s v="Feb 2022"/>
    <x v="0"/>
    <x v="0"/>
    <n v="0"/>
  </r>
  <r>
    <x v="377"/>
    <x v="141"/>
    <x v="1"/>
    <x v="1"/>
    <n v="2"/>
    <s v="Feb 2022"/>
    <x v="0"/>
    <x v="0"/>
    <n v="0"/>
  </r>
  <r>
    <x v="378"/>
    <x v="141"/>
    <x v="1"/>
    <x v="1"/>
    <n v="2"/>
    <s v="Feb 2022"/>
    <x v="0"/>
    <x v="0"/>
    <n v="0"/>
  </r>
  <r>
    <x v="379"/>
    <x v="142"/>
    <x v="1"/>
    <x v="1"/>
    <n v="2"/>
    <s v="Feb 2022"/>
    <x v="0"/>
    <x v="0"/>
    <n v="0"/>
  </r>
  <r>
    <x v="380"/>
    <x v="143"/>
    <x v="1"/>
    <x v="1"/>
    <n v="2"/>
    <s v="Feb 2022"/>
    <x v="0"/>
    <x v="0"/>
    <n v="0"/>
  </r>
  <r>
    <x v="381"/>
    <x v="144"/>
    <x v="1"/>
    <x v="1"/>
    <n v="2"/>
    <s v="Feb 2022"/>
    <x v="0"/>
    <x v="0"/>
    <n v="0"/>
  </r>
  <r>
    <x v="382"/>
    <x v="143"/>
    <x v="1"/>
    <x v="1"/>
    <n v="2"/>
    <s v="Feb 2022"/>
    <x v="0"/>
    <x v="0"/>
    <n v="0"/>
  </r>
  <r>
    <x v="383"/>
    <x v="85"/>
    <x v="1"/>
    <x v="1"/>
    <n v="2"/>
    <s v="Feb 2022"/>
    <x v="0"/>
    <x v="0"/>
    <n v="0"/>
  </r>
  <r>
    <x v="384"/>
    <x v="80"/>
    <x v="1"/>
    <x v="1"/>
    <n v="2"/>
    <s v="Feb 2022"/>
    <x v="0"/>
    <x v="0"/>
    <n v="0"/>
  </r>
  <r>
    <x v="385"/>
    <x v="95"/>
    <x v="1"/>
    <x v="1"/>
    <n v="2"/>
    <s v="Feb 2022"/>
    <x v="0"/>
    <x v="0"/>
    <n v="0"/>
  </r>
  <r>
    <x v="386"/>
    <x v="84"/>
    <x v="1"/>
    <x v="1"/>
    <n v="2"/>
    <s v="Feb 2022"/>
    <x v="0"/>
    <x v="0"/>
    <n v="0"/>
  </r>
  <r>
    <x v="387"/>
    <x v="82"/>
    <x v="1"/>
    <x v="1"/>
    <n v="2"/>
    <s v="Feb 2022"/>
    <x v="0"/>
    <x v="0"/>
    <n v="0"/>
  </r>
  <r>
    <x v="388"/>
    <x v="81"/>
    <x v="1"/>
    <x v="1"/>
    <n v="2"/>
    <s v="Feb 2022"/>
    <x v="0"/>
    <x v="0"/>
    <n v="0"/>
  </r>
  <r>
    <x v="389"/>
    <x v="62"/>
    <x v="1"/>
    <x v="1"/>
    <n v="2"/>
    <s v="Feb 2022"/>
    <x v="0"/>
    <x v="0"/>
    <n v="0"/>
  </r>
  <r>
    <x v="390"/>
    <x v="28"/>
    <x v="1"/>
    <x v="1"/>
    <n v="2"/>
    <s v="Feb 2022"/>
    <x v="0"/>
    <x v="0"/>
    <n v="0"/>
  </r>
  <r>
    <x v="391"/>
    <x v="71"/>
    <x v="1"/>
    <x v="1"/>
    <n v="2"/>
    <s v="Feb 2022"/>
    <x v="0"/>
    <x v="0"/>
    <n v="0"/>
  </r>
  <r>
    <x v="392"/>
    <x v="89"/>
    <x v="1"/>
    <x v="1"/>
    <n v="2"/>
    <s v="Feb 2022"/>
    <x v="0"/>
    <x v="0"/>
    <n v="0"/>
  </r>
  <r>
    <x v="393"/>
    <x v="29"/>
    <x v="1"/>
    <x v="1"/>
    <n v="2"/>
    <s v="Feb 2022"/>
    <x v="0"/>
    <x v="0"/>
    <n v="0"/>
  </r>
  <r>
    <x v="394"/>
    <x v="145"/>
    <x v="1"/>
    <x v="1"/>
    <n v="2"/>
    <s v="Feb 2022"/>
    <x v="0"/>
    <x v="0"/>
    <n v="0"/>
  </r>
  <r>
    <x v="395"/>
    <x v="72"/>
    <x v="1"/>
    <x v="1"/>
    <n v="2"/>
    <s v="Feb 2022"/>
    <x v="0"/>
    <x v="0"/>
    <n v="0"/>
  </r>
  <r>
    <x v="396"/>
    <x v="75"/>
    <x v="1"/>
    <x v="1"/>
    <n v="2"/>
    <s v="Feb 2022"/>
    <x v="0"/>
    <x v="0"/>
    <n v="0"/>
  </r>
  <r>
    <x v="397"/>
    <x v="31"/>
    <x v="1"/>
    <x v="1"/>
    <n v="2"/>
    <s v="Feb 2022"/>
    <x v="0"/>
    <x v="0"/>
    <n v="0"/>
  </r>
  <r>
    <x v="398"/>
    <x v="0"/>
    <x v="1"/>
    <x v="1"/>
    <n v="2"/>
    <s v="Feb 2022"/>
    <x v="0"/>
    <x v="0"/>
    <n v="0"/>
  </r>
  <r>
    <x v="399"/>
    <x v="146"/>
    <x v="1"/>
    <x v="1"/>
    <n v="2"/>
    <s v="Feb 2022"/>
    <x v="0"/>
    <x v="0"/>
    <n v="0"/>
  </r>
  <r>
    <x v="400"/>
    <x v="146"/>
    <x v="1"/>
    <x v="1"/>
    <n v="2"/>
    <s v="Feb 2022"/>
    <x v="0"/>
    <x v="0"/>
    <n v="0"/>
  </r>
  <r>
    <x v="401"/>
    <x v="104"/>
    <x v="1"/>
    <x v="2"/>
    <n v="3"/>
    <s v="Mar 2022"/>
    <x v="0"/>
    <x v="0"/>
    <n v="0"/>
  </r>
  <r>
    <x v="402"/>
    <x v="57"/>
    <x v="1"/>
    <x v="2"/>
    <n v="3"/>
    <s v="Mar 2022"/>
    <x v="0"/>
    <x v="0"/>
    <n v="0"/>
  </r>
  <r>
    <x v="403"/>
    <x v="147"/>
    <x v="1"/>
    <x v="2"/>
    <n v="3"/>
    <s v="Mar 2022"/>
    <x v="0"/>
    <x v="0"/>
    <n v="0"/>
  </r>
  <r>
    <x v="404"/>
    <x v="53"/>
    <x v="1"/>
    <x v="2"/>
    <n v="3"/>
    <s v="Mar 2022"/>
    <x v="0"/>
    <x v="0"/>
    <n v="0"/>
  </r>
  <r>
    <x v="405"/>
    <x v="148"/>
    <x v="1"/>
    <x v="2"/>
    <n v="3"/>
    <s v="Mar 2022"/>
    <x v="0"/>
    <x v="0"/>
    <n v="0"/>
  </r>
  <r>
    <x v="406"/>
    <x v="8"/>
    <x v="1"/>
    <x v="2"/>
    <n v="3"/>
    <s v="Mar 2022"/>
    <x v="0"/>
    <x v="0"/>
    <n v="0"/>
  </r>
  <r>
    <x v="407"/>
    <x v="149"/>
    <x v="1"/>
    <x v="2"/>
    <n v="3"/>
    <s v="Mar 2022"/>
    <x v="0"/>
    <x v="0"/>
    <n v="0"/>
  </r>
  <r>
    <x v="408"/>
    <x v="50"/>
    <x v="1"/>
    <x v="2"/>
    <n v="3"/>
    <s v="Mar 2022"/>
    <x v="0"/>
    <x v="0"/>
    <n v="0"/>
  </r>
  <r>
    <x v="409"/>
    <x v="100"/>
    <x v="1"/>
    <x v="2"/>
    <n v="3"/>
    <s v="Mar 2022"/>
    <x v="0"/>
    <x v="0"/>
    <n v="0"/>
  </r>
  <r>
    <x v="410"/>
    <x v="59"/>
    <x v="1"/>
    <x v="2"/>
    <n v="3"/>
    <s v="Mar 2022"/>
    <x v="0"/>
    <x v="0"/>
    <n v="0"/>
  </r>
  <r>
    <x v="411"/>
    <x v="50"/>
    <x v="1"/>
    <x v="2"/>
    <n v="3"/>
    <s v="Mar 2022"/>
    <x v="0"/>
    <x v="0"/>
    <n v="0"/>
  </r>
  <r>
    <x v="412"/>
    <x v="49"/>
    <x v="1"/>
    <x v="2"/>
    <n v="3"/>
    <s v="Mar 2022"/>
    <x v="0"/>
    <x v="0"/>
    <n v="0"/>
  </r>
  <r>
    <x v="413"/>
    <x v="48"/>
    <x v="1"/>
    <x v="2"/>
    <n v="3"/>
    <s v="Mar 2022"/>
    <x v="0"/>
    <x v="0"/>
    <n v="0"/>
  </r>
  <r>
    <x v="414"/>
    <x v="67"/>
    <x v="1"/>
    <x v="2"/>
    <n v="3"/>
    <s v="Mar 2022"/>
    <x v="0"/>
    <x v="0"/>
    <n v="0"/>
  </r>
  <r>
    <x v="415"/>
    <x v="62"/>
    <x v="1"/>
    <x v="2"/>
    <n v="3"/>
    <s v="Mar 2022"/>
    <x v="0"/>
    <x v="0"/>
    <n v="0"/>
  </r>
  <r>
    <x v="416"/>
    <x v="28"/>
    <x v="1"/>
    <x v="2"/>
    <n v="3"/>
    <s v="Mar 2022"/>
    <x v="0"/>
    <x v="0"/>
    <n v="0"/>
  </r>
  <r>
    <x v="417"/>
    <x v="101"/>
    <x v="1"/>
    <x v="2"/>
    <n v="3"/>
    <s v="Mar 2022"/>
    <x v="0"/>
    <x v="0"/>
    <n v="0"/>
  </r>
  <r>
    <x v="418"/>
    <x v="34"/>
    <x v="1"/>
    <x v="2"/>
    <n v="3"/>
    <s v="Mar 2022"/>
    <x v="0"/>
    <x v="0"/>
    <n v="0"/>
  </r>
  <r>
    <x v="419"/>
    <x v="26"/>
    <x v="1"/>
    <x v="2"/>
    <n v="3"/>
    <s v="Mar 2022"/>
    <x v="0"/>
    <x v="0"/>
    <n v="0"/>
  </r>
  <r>
    <x v="420"/>
    <x v="14"/>
    <x v="1"/>
    <x v="2"/>
    <n v="3"/>
    <s v="Mar 2022"/>
    <x v="0"/>
    <x v="0"/>
    <n v="0"/>
  </r>
  <r>
    <x v="421"/>
    <x v="2"/>
    <x v="1"/>
    <x v="2"/>
    <n v="3"/>
    <s v="Mar 2022"/>
    <x v="0"/>
    <x v="0"/>
    <n v="0"/>
  </r>
  <r>
    <x v="422"/>
    <x v="11"/>
    <x v="1"/>
    <x v="2"/>
    <n v="3"/>
    <s v="Mar 2022"/>
    <x v="0"/>
    <x v="0"/>
    <n v="0"/>
  </r>
  <r>
    <x v="423"/>
    <x v="150"/>
    <x v="1"/>
    <x v="2"/>
    <n v="3"/>
    <s v="Mar 2022"/>
    <x v="0"/>
    <x v="0"/>
    <n v="0"/>
  </r>
  <r>
    <x v="424"/>
    <x v="104"/>
    <x v="1"/>
    <x v="2"/>
    <n v="3"/>
    <s v="Mar 2022"/>
    <x v="0"/>
    <x v="0"/>
    <n v="0"/>
  </r>
  <r>
    <x v="425"/>
    <x v="151"/>
    <x v="1"/>
    <x v="2"/>
    <n v="3"/>
    <s v="Mar 2022"/>
    <x v="0"/>
    <x v="0"/>
    <n v="0"/>
  </r>
  <r>
    <x v="426"/>
    <x v="74"/>
    <x v="1"/>
    <x v="2"/>
    <n v="3"/>
    <s v="Mar 2022"/>
    <x v="0"/>
    <x v="0"/>
    <n v="0"/>
  </r>
  <r>
    <x v="427"/>
    <x v="76"/>
    <x v="1"/>
    <x v="2"/>
    <n v="3"/>
    <s v="Mar 2022"/>
    <x v="0"/>
    <x v="0"/>
    <n v="0"/>
  </r>
  <r>
    <x v="428"/>
    <x v="25"/>
    <x v="1"/>
    <x v="2"/>
    <n v="3"/>
    <s v="Mar 2022"/>
    <x v="0"/>
    <x v="0"/>
    <n v="0"/>
  </r>
  <r>
    <x v="429"/>
    <x v="104"/>
    <x v="1"/>
    <x v="2"/>
    <n v="3"/>
    <s v="Mar 2022"/>
    <x v="0"/>
    <x v="0"/>
    <n v="0"/>
  </r>
  <r>
    <x v="430"/>
    <x v="52"/>
    <x v="1"/>
    <x v="2"/>
    <n v="3"/>
    <s v="Mar 2022"/>
    <x v="0"/>
    <x v="0"/>
    <n v="0"/>
  </r>
  <r>
    <x v="431"/>
    <x v="52"/>
    <x v="1"/>
    <x v="2"/>
    <n v="3"/>
    <s v="Mar 2022"/>
    <x v="0"/>
    <x v="0"/>
    <n v="0"/>
  </r>
  <r>
    <x v="432"/>
    <x v="25"/>
    <x v="1"/>
    <x v="3"/>
    <n v="4"/>
    <s v="Apr 2022"/>
    <x v="1"/>
    <x v="0"/>
    <n v="0"/>
  </r>
  <r>
    <x v="433"/>
    <x v="37"/>
    <x v="1"/>
    <x v="3"/>
    <n v="4"/>
    <s v="Apr 2022"/>
    <x v="1"/>
    <x v="0"/>
    <n v="0"/>
  </r>
  <r>
    <x v="434"/>
    <x v="9"/>
    <x v="1"/>
    <x v="3"/>
    <n v="4"/>
    <s v="Apr 2022"/>
    <x v="1"/>
    <x v="0"/>
    <n v="0"/>
  </r>
  <r>
    <x v="435"/>
    <x v="10"/>
    <x v="1"/>
    <x v="3"/>
    <n v="4"/>
    <s v="Apr 2022"/>
    <x v="1"/>
    <x v="0"/>
    <n v="0"/>
  </r>
  <r>
    <x v="436"/>
    <x v="7"/>
    <x v="1"/>
    <x v="3"/>
    <n v="4"/>
    <s v="Apr 2022"/>
    <x v="1"/>
    <x v="0"/>
    <n v="0"/>
  </r>
  <r>
    <x v="437"/>
    <x v="74"/>
    <x v="1"/>
    <x v="3"/>
    <n v="4"/>
    <s v="Apr 2022"/>
    <x v="1"/>
    <x v="0"/>
    <n v="0"/>
  </r>
  <r>
    <x v="438"/>
    <x v="30"/>
    <x v="1"/>
    <x v="3"/>
    <n v="4"/>
    <s v="Apr 2022"/>
    <x v="1"/>
    <x v="0"/>
    <n v="0"/>
  </r>
  <r>
    <x v="439"/>
    <x v="37"/>
    <x v="1"/>
    <x v="3"/>
    <n v="4"/>
    <s v="Apr 2022"/>
    <x v="1"/>
    <x v="0"/>
    <n v="0"/>
  </r>
  <r>
    <x v="440"/>
    <x v="64"/>
    <x v="1"/>
    <x v="3"/>
    <n v="4"/>
    <s v="Apr 2022"/>
    <x v="1"/>
    <x v="0"/>
    <n v="0"/>
  </r>
  <r>
    <x v="441"/>
    <x v="38"/>
    <x v="1"/>
    <x v="3"/>
    <n v="4"/>
    <s v="Apr 2022"/>
    <x v="1"/>
    <x v="0"/>
    <n v="0"/>
  </r>
  <r>
    <x v="442"/>
    <x v="108"/>
    <x v="1"/>
    <x v="3"/>
    <n v="4"/>
    <s v="Apr 2022"/>
    <x v="1"/>
    <x v="0"/>
    <n v="0"/>
  </r>
  <r>
    <x v="443"/>
    <x v="5"/>
    <x v="1"/>
    <x v="3"/>
    <n v="4"/>
    <s v="Apr 2022"/>
    <x v="1"/>
    <x v="0"/>
    <n v="0"/>
  </r>
  <r>
    <x v="444"/>
    <x v="10"/>
    <x v="1"/>
    <x v="3"/>
    <n v="4"/>
    <s v="Apr 2022"/>
    <x v="1"/>
    <x v="0"/>
    <n v="0"/>
  </r>
  <r>
    <x v="445"/>
    <x v="151"/>
    <x v="1"/>
    <x v="3"/>
    <n v="4"/>
    <s v="Apr 2022"/>
    <x v="1"/>
    <x v="0"/>
    <n v="0"/>
  </r>
  <r>
    <x v="446"/>
    <x v="118"/>
    <x v="1"/>
    <x v="3"/>
    <n v="4"/>
    <s v="Apr 2022"/>
    <x v="1"/>
    <x v="0"/>
    <n v="0"/>
  </r>
  <r>
    <x v="447"/>
    <x v="107"/>
    <x v="1"/>
    <x v="3"/>
    <n v="4"/>
    <s v="Apr 2022"/>
    <x v="1"/>
    <x v="0"/>
    <n v="0"/>
  </r>
  <r>
    <x v="448"/>
    <x v="152"/>
    <x v="1"/>
    <x v="3"/>
    <n v="4"/>
    <s v="Apr 2022"/>
    <x v="1"/>
    <x v="0"/>
    <n v="0"/>
  </r>
  <r>
    <x v="449"/>
    <x v="51"/>
    <x v="1"/>
    <x v="3"/>
    <n v="4"/>
    <s v="Apr 2022"/>
    <x v="1"/>
    <x v="0"/>
    <n v="0"/>
  </r>
  <r>
    <x v="450"/>
    <x v="25"/>
    <x v="1"/>
    <x v="3"/>
    <n v="4"/>
    <s v="Apr 2022"/>
    <x v="1"/>
    <x v="0"/>
    <n v="0"/>
  </r>
  <r>
    <x v="451"/>
    <x v="109"/>
    <x v="1"/>
    <x v="3"/>
    <n v="4"/>
    <s v="Apr 2022"/>
    <x v="1"/>
    <x v="0"/>
    <n v="0"/>
  </r>
  <r>
    <x v="452"/>
    <x v="87"/>
    <x v="1"/>
    <x v="3"/>
    <n v="4"/>
    <s v="Apr 2022"/>
    <x v="1"/>
    <x v="0"/>
    <n v="0"/>
  </r>
  <r>
    <x v="453"/>
    <x v="52"/>
    <x v="1"/>
    <x v="3"/>
    <n v="4"/>
    <s v="Apr 2022"/>
    <x v="1"/>
    <x v="0"/>
    <n v="0"/>
  </r>
  <r>
    <x v="454"/>
    <x v="153"/>
    <x v="1"/>
    <x v="3"/>
    <n v="4"/>
    <s v="Apr 2022"/>
    <x v="1"/>
    <x v="0"/>
    <n v="0"/>
  </r>
  <r>
    <x v="455"/>
    <x v="106"/>
    <x v="1"/>
    <x v="3"/>
    <n v="4"/>
    <s v="Apr 2022"/>
    <x v="1"/>
    <x v="0"/>
    <n v="0"/>
  </r>
  <r>
    <x v="456"/>
    <x v="12"/>
    <x v="1"/>
    <x v="3"/>
    <n v="4"/>
    <s v="Apr 2022"/>
    <x v="1"/>
    <x v="0"/>
    <n v="0"/>
  </r>
  <r>
    <x v="457"/>
    <x v="152"/>
    <x v="1"/>
    <x v="3"/>
    <n v="4"/>
    <s v="Apr 2022"/>
    <x v="1"/>
    <x v="0"/>
    <n v="0"/>
  </r>
  <r>
    <x v="458"/>
    <x v="154"/>
    <x v="1"/>
    <x v="3"/>
    <n v="4"/>
    <s v="Apr 2022"/>
    <x v="1"/>
    <x v="0"/>
    <n v="0"/>
  </r>
  <r>
    <x v="459"/>
    <x v="13"/>
    <x v="1"/>
    <x v="3"/>
    <n v="4"/>
    <s v="Apr 2022"/>
    <x v="1"/>
    <x v="0"/>
    <n v="0"/>
  </r>
  <r>
    <x v="460"/>
    <x v="54"/>
    <x v="1"/>
    <x v="3"/>
    <n v="4"/>
    <s v="Apr 2022"/>
    <x v="1"/>
    <x v="0"/>
    <n v="0"/>
  </r>
  <r>
    <x v="461"/>
    <x v="38"/>
    <x v="1"/>
    <x v="3"/>
    <n v="4"/>
    <s v="Apr 2022"/>
    <x v="1"/>
    <x v="0"/>
    <n v="0"/>
  </r>
  <r>
    <x v="462"/>
    <x v="114"/>
    <x v="1"/>
    <x v="4"/>
    <n v="5"/>
    <s v="May 2022"/>
    <x v="1"/>
    <x v="0"/>
    <n v="0"/>
  </r>
  <r>
    <x v="463"/>
    <x v="155"/>
    <x v="1"/>
    <x v="4"/>
    <n v="5"/>
    <s v="May 2022"/>
    <x v="1"/>
    <x v="0"/>
    <n v="0"/>
  </r>
  <r>
    <x v="464"/>
    <x v="86"/>
    <x v="1"/>
    <x v="4"/>
    <n v="5"/>
    <s v="May 2022"/>
    <x v="1"/>
    <x v="0"/>
    <n v="0"/>
  </r>
  <r>
    <x v="465"/>
    <x v="113"/>
    <x v="1"/>
    <x v="4"/>
    <n v="5"/>
    <s v="May 2022"/>
    <x v="1"/>
    <x v="0"/>
    <n v="0"/>
  </r>
  <r>
    <x v="466"/>
    <x v="11"/>
    <x v="1"/>
    <x v="4"/>
    <n v="5"/>
    <s v="May 2022"/>
    <x v="1"/>
    <x v="0"/>
    <n v="0"/>
  </r>
  <r>
    <x v="467"/>
    <x v="52"/>
    <x v="1"/>
    <x v="4"/>
    <n v="5"/>
    <s v="May 2022"/>
    <x v="1"/>
    <x v="0"/>
    <n v="0"/>
  </r>
  <r>
    <x v="468"/>
    <x v="14"/>
    <x v="1"/>
    <x v="4"/>
    <n v="5"/>
    <s v="May 2022"/>
    <x v="1"/>
    <x v="0"/>
    <n v="0"/>
  </r>
  <r>
    <x v="469"/>
    <x v="103"/>
    <x v="1"/>
    <x v="4"/>
    <n v="5"/>
    <s v="May 2022"/>
    <x v="1"/>
    <x v="0"/>
    <n v="0"/>
  </r>
  <r>
    <x v="470"/>
    <x v="104"/>
    <x v="1"/>
    <x v="4"/>
    <n v="5"/>
    <s v="May 2022"/>
    <x v="1"/>
    <x v="0"/>
    <n v="0"/>
  </r>
  <r>
    <x v="471"/>
    <x v="32"/>
    <x v="1"/>
    <x v="4"/>
    <n v="5"/>
    <s v="May 2022"/>
    <x v="1"/>
    <x v="0"/>
    <n v="0"/>
  </r>
  <r>
    <x v="472"/>
    <x v="4"/>
    <x v="1"/>
    <x v="4"/>
    <n v="5"/>
    <s v="May 2022"/>
    <x v="1"/>
    <x v="0"/>
    <n v="0"/>
  </r>
  <r>
    <x v="473"/>
    <x v="156"/>
    <x v="1"/>
    <x v="4"/>
    <n v="5"/>
    <s v="May 2022"/>
    <x v="1"/>
    <x v="0"/>
    <n v="0"/>
  </r>
  <r>
    <x v="474"/>
    <x v="57"/>
    <x v="1"/>
    <x v="4"/>
    <n v="5"/>
    <s v="May 2022"/>
    <x v="1"/>
    <x v="0"/>
    <n v="0"/>
  </r>
  <r>
    <x v="475"/>
    <x v="6"/>
    <x v="1"/>
    <x v="4"/>
    <n v="5"/>
    <s v="May 2022"/>
    <x v="1"/>
    <x v="0"/>
    <n v="0"/>
  </r>
  <r>
    <x v="476"/>
    <x v="7"/>
    <x v="1"/>
    <x v="4"/>
    <n v="5"/>
    <s v="May 2022"/>
    <x v="1"/>
    <x v="0"/>
    <n v="0"/>
  </r>
  <r>
    <x v="477"/>
    <x v="112"/>
    <x v="1"/>
    <x v="4"/>
    <n v="5"/>
    <s v="May 2022"/>
    <x v="1"/>
    <x v="0"/>
    <n v="0"/>
  </r>
  <r>
    <x v="478"/>
    <x v="12"/>
    <x v="1"/>
    <x v="4"/>
    <n v="5"/>
    <s v="May 2022"/>
    <x v="1"/>
    <x v="0"/>
    <n v="0"/>
  </r>
  <r>
    <x v="479"/>
    <x v="70"/>
    <x v="1"/>
    <x v="4"/>
    <n v="5"/>
    <s v="May 2022"/>
    <x v="1"/>
    <x v="0"/>
    <n v="0"/>
  </r>
  <r>
    <x v="480"/>
    <x v="56"/>
    <x v="1"/>
    <x v="4"/>
    <n v="5"/>
    <s v="May 2022"/>
    <x v="1"/>
    <x v="0"/>
    <n v="0"/>
  </r>
  <r>
    <x v="481"/>
    <x v="115"/>
    <x v="1"/>
    <x v="4"/>
    <n v="5"/>
    <s v="May 2022"/>
    <x v="1"/>
    <x v="0"/>
    <n v="0"/>
  </r>
  <r>
    <x v="482"/>
    <x v="4"/>
    <x v="1"/>
    <x v="4"/>
    <n v="5"/>
    <s v="May 2022"/>
    <x v="1"/>
    <x v="0"/>
    <n v="0"/>
  </r>
  <r>
    <x v="483"/>
    <x v="37"/>
    <x v="1"/>
    <x v="4"/>
    <n v="5"/>
    <s v="May 2022"/>
    <x v="1"/>
    <x v="0"/>
    <n v="0"/>
  </r>
  <r>
    <x v="484"/>
    <x v="63"/>
    <x v="1"/>
    <x v="4"/>
    <n v="5"/>
    <s v="May 2022"/>
    <x v="1"/>
    <x v="0"/>
    <n v="0"/>
  </r>
  <r>
    <x v="485"/>
    <x v="56"/>
    <x v="1"/>
    <x v="4"/>
    <n v="5"/>
    <s v="May 2022"/>
    <x v="1"/>
    <x v="0"/>
    <n v="0"/>
  </r>
  <r>
    <x v="486"/>
    <x v="58"/>
    <x v="1"/>
    <x v="4"/>
    <n v="5"/>
    <s v="May 2022"/>
    <x v="1"/>
    <x v="0"/>
    <n v="0"/>
  </r>
  <r>
    <x v="487"/>
    <x v="109"/>
    <x v="1"/>
    <x v="4"/>
    <n v="5"/>
    <s v="May 2022"/>
    <x v="1"/>
    <x v="0"/>
    <n v="0"/>
  </r>
  <r>
    <x v="488"/>
    <x v="148"/>
    <x v="1"/>
    <x v="4"/>
    <n v="5"/>
    <s v="May 2022"/>
    <x v="1"/>
    <x v="0"/>
    <n v="0"/>
  </r>
  <r>
    <x v="489"/>
    <x v="106"/>
    <x v="1"/>
    <x v="4"/>
    <n v="5"/>
    <s v="May 2022"/>
    <x v="1"/>
    <x v="0"/>
    <n v="0"/>
  </r>
  <r>
    <x v="490"/>
    <x v="114"/>
    <x v="1"/>
    <x v="4"/>
    <n v="5"/>
    <s v="May 2022"/>
    <x v="1"/>
    <x v="0"/>
    <n v="0"/>
  </r>
  <r>
    <x v="491"/>
    <x v="107"/>
    <x v="1"/>
    <x v="4"/>
    <n v="5"/>
    <s v="May 2022"/>
    <x v="1"/>
    <x v="0"/>
    <n v="0"/>
  </r>
  <r>
    <x v="492"/>
    <x v="107"/>
    <x v="1"/>
    <x v="4"/>
    <n v="5"/>
    <s v="May 2022"/>
    <x v="1"/>
    <x v="0"/>
    <n v="0"/>
  </r>
  <r>
    <x v="493"/>
    <x v="3"/>
    <x v="1"/>
    <x v="5"/>
    <n v="6"/>
    <s v="Jun 2022"/>
    <x v="1"/>
    <x v="0"/>
    <n v="0"/>
  </r>
  <r>
    <x v="494"/>
    <x v="109"/>
    <x v="1"/>
    <x v="5"/>
    <n v="6"/>
    <s v="Jun 2022"/>
    <x v="1"/>
    <x v="0"/>
    <n v="0"/>
  </r>
  <r>
    <x v="495"/>
    <x v="57"/>
    <x v="1"/>
    <x v="5"/>
    <n v="6"/>
    <s v="Jun 2022"/>
    <x v="1"/>
    <x v="0"/>
    <n v="0"/>
  </r>
  <r>
    <x v="496"/>
    <x v="2"/>
    <x v="1"/>
    <x v="5"/>
    <n v="6"/>
    <s v="Jun 2022"/>
    <x v="1"/>
    <x v="0"/>
    <n v="0"/>
  </r>
  <r>
    <x v="497"/>
    <x v="106"/>
    <x v="1"/>
    <x v="5"/>
    <n v="6"/>
    <s v="Jun 2022"/>
    <x v="1"/>
    <x v="0"/>
    <n v="0"/>
  </r>
  <r>
    <x v="498"/>
    <x v="9"/>
    <x v="1"/>
    <x v="5"/>
    <n v="6"/>
    <s v="Jun 2022"/>
    <x v="1"/>
    <x v="0"/>
    <n v="0"/>
  </r>
  <r>
    <x v="499"/>
    <x v="25"/>
    <x v="1"/>
    <x v="5"/>
    <n v="6"/>
    <s v="Jun 2022"/>
    <x v="1"/>
    <x v="0"/>
    <n v="0"/>
  </r>
  <r>
    <x v="500"/>
    <x v="157"/>
    <x v="1"/>
    <x v="5"/>
    <n v="6"/>
    <s v="Jun 2022"/>
    <x v="1"/>
    <x v="0"/>
    <n v="0"/>
  </r>
  <r>
    <x v="501"/>
    <x v="6"/>
    <x v="1"/>
    <x v="5"/>
    <n v="6"/>
    <s v="Jun 2022"/>
    <x v="1"/>
    <x v="0"/>
    <n v="0"/>
  </r>
  <r>
    <x v="502"/>
    <x v="157"/>
    <x v="1"/>
    <x v="5"/>
    <n v="6"/>
    <s v="Jun 2022"/>
    <x v="1"/>
    <x v="0"/>
    <n v="0"/>
  </r>
  <r>
    <x v="503"/>
    <x v="53"/>
    <x v="1"/>
    <x v="5"/>
    <n v="6"/>
    <s v="Jun 2022"/>
    <x v="1"/>
    <x v="0"/>
    <n v="0"/>
  </r>
  <r>
    <x v="504"/>
    <x v="104"/>
    <x v="1"/>
    <x v="5"/>
    <n v="6"/>
    <s v="Jun 2022"/>
    <x v="1"/>
    <x v="0"/>
    <n v="0"/>
  </r>
  <r>
    <x v="505"/>
    <x v="105"/>
    <x v="1"/>
    <x v="5"/>
    <n v="6"/>
    <s v="Jun 2022"/>
    <x v="1"/>
    <x v="0"/>
    <n v="0"/>
  </r>
  <r>
    <x v="506"/>
    <x v="112"/>
    <x v="1"/>
    <x v="5"/>
    <n v="6"/>
    <s v="Jun 2022"/>
    <x v="1"/>
    <x v="0"/>
    <n v="0"/>
  </r>
  <r>
    <x v="507"/>
    <x v="6"/>
    <x v="1"/>
    <x v="5"/>
    <n v="6"/>
    <s v="Jun 2022"/>
    <x v="1"/>
    <x v="0"/>
    <n v="0"/>
  </r>
  <r>
    <x v="508"/>
    <x v="10"/>
    <x v="1"/>
    <x v="5"/>
    <n v="6"/>
    <s v="Jun 2022"/>
    <x v="1"/>
    <x v="0"/>
    <n v="0"/>
  </r>
  <r>
    <x v="509"/>
    <x v="4"/>
    <x v="1"/>
    <x v="5"/>
    <n v="6"/>
    <s v="Jun 2022"/>
    <x v="1"/>
    <x v="0"/>
    <n v="0"/>
  </r>
  <r>
    <x v="510"/>
    <x v="148"/>
    <x v="1"/>
    <x v="5"/>
    <n v="6"/>
    <s v="Jun 2022"/>
    <x v="1"/>
    <x v="0"/>
    <n v="0"/>
  </r>
  <r>
    <x v="511"/>
    <x v="68"/>
    <x v="1"/>
    <x v="5"/>
    <n v="6"/>
    <s v="Jun 2022"/>
    <x v="1"/>
    <x v="0"/>
    <n v="0"/>
  </r>
  <r>
    <x v="512"/>
    <x v="156"/>
    <x v="1"/>
    <x v="5"/>
    <n v="6"/>
    <s v="Jun 2022"/>
    <x v="1"/>
    <x v="0"/>
    <n v="0"/>
  </r>
  <r>
    <x v="513"/>
    <x v="152"/>
    <x v="1"/>
    <x v="5"/>
    <n v="6"/>
    <s v="Jun 2022"/>
    <x v="1"/>
    <x v="0"/>
    <n v="0"/>
  </r>
  <r>
    <x v="514"/>
    <x v="147"/>
    <x v="1"/>
    <x v="5"/>
    <n v="6"/>
    <s v="Jun 2022"/>
    <x v="1"/>
    <x v="0"/>
    <n v="0"/>
  </r>
  <r>
    <x v="515"/>
    <x v="156"/>
    <x v="1"/>
    <x v="5"/>
    <n v="6"/>
    <s v="Jun 2022"/>
    <x v="1"/>
    <x v="0"/>
    <n v="0"/>
  </r>
  <r>
    <x v="516"/>
    <x v="106"/>
    <x v="1"/>
    <x v="5"/>
    <n v="6"/>
    <s v="Jun 2022"/>
    <x v="1"/>
    <x v="0"/>
    <n v="0"/>
  </r>
  <r>
    <x v="517"/>
    <x v="77"/>
    <x v="1"/>
    <x v="5"/>
    <n v="6"/>
    <s v="Jun 2022"/>
    <x v="1"/>
    <x v="0"/>
    <n v="0"/>
  </r>
  <r>
    <x v="518"/>
    <x v="65"/>
    <x v="1"/>
    <x v="5"/>
    <n v="6"/>
    <s v="Jun 2022"/>
    <x v="1"/>
    <x v="0"/>
    <n v="0"/>
  </r>
  <r>
    <x v="519"/>
    <x v="105"/>
    <x v="1"/>
    <x v="5"/>
    <n v="6"/>
    <s v="Jun 2022"/>
    <x v="1"/>
    <x v="0"/>
    <n v="0"/>
  </r>
  <r>
    <x v="520"/>
    <x v="58"/>
    <x v="1"/>
    <x v="5"/>
    <n v="6"/>
    <s v="Jun 2022"/>
    <x v="1"/>
    <x v="0"/>
    <n v="0"/>
  </r>
  <r>
    <x v="521"/>
    <x v="108"/>
    <x v="1"/>
    <x v="5"/>
    <n v="6"/>
    <s v="Jun 2022"/>
    <x v="1"/>
    <x v="0"/>
    <n v="0"/>
  </r>
  <r>
    <x v="522"/>
    <x v="158"/>
    <x v="1"/>
    <x v="5"/>
    <n v="6"/>
    <s v="Jun 2022"/>
    <x v="1"/>
    <x v="0"/>
    <n v="0"/>
  </r>
  <r>
    <x v="523"/>
    <x v="4"/>
    <x v="1"/>
    <x v="6"/>
    <n v="7"/>
    <s v="Jul 2022"/>
    <x v="2"/>
    <x v="0"/>
    <n v="0"/>
  </r>
  <r>
    <x v="524"/>
    <x v="56"/>
    <x v="1"/>
    <x v="6"/>
    <n v="7"/>
    <s v="Jul 2022"/>
    <x v="2"/>
    <x v="0"/>
    <n v="0"/>
  </r>
  <r>
    <x v="525"/>
    <x v="36"/>
    <x v="1"/>
    <x v="6"/>
    <n v="7"/>
    <s v="Jul 2022"/>
    <x v="2"/>
    <x v="0"/>
    <n v="0"/>
  </r>
  <r>
    <x v="526"/>
    <x v="70"/>
    <x v="1"/>
    <x v="6"/>
    <n v="7"/>
    <s v="Jul 2022"/>
    <x v="2"/>
    <x v="0"/>
    <n v="0"/>
  </r>
  <r>
    <x v="527"/>
    <x v="56"/>
    <x v="1"/>
    <x v="6"/>
    <n v="7"/>
    <s v="Jul 2022"/>
    <x v="2"/>
    <x v="0"/>
    <n v="0"/>
  </r>
  <r>
    <x v="528"/>
    <x v="53"/>
    <x v="1"/>
    <x v="6"/>
    <n v="7"/>
    <s v="Jul 2022"/>
    <x v="2"/>
    <x v="0"/>
    <n v="0"/>
  </r>
  <r>
    <x v="529"/>
    <x v="6"/>
    <x v="1"/>
    <x v="6"/>
    <n v="7"/>
    <s v="Jul 2022"/>
    <x v="2"/>
    <x v="0"/>
    <n v="0"/>
  </r>
  <r>
    <x v="530"/>
    <x v="150"/>
    <x v="1"/>
    <x v="6"/>
    <n v="7"/>
    <s v="Jul 2022"/>
    <x v="2"/>
    <x v="0"/>
    <n v="0"/>
  </r>
  <r>
    <x v="531"/>
    <x v="148"/>
    <x v="1"/>
    <x v="6"/>
    <n v="7"/>
    <s v="Jul 2022"/>
    <x v="2"/>
    <x v="0"/>
    <n v="0"/>
  </r>
  <r>
    <x v="532"/>
    <x v="104"/>
    <x v="1"/>
    <x v="6"/>
    <n v="7"/>
    <s v="Jul 2022"/>
    <x v="2"/>
    <x v="0"/>
    <n v="0"/>
  </r>
  <r>
    <x v="533"/>
    <x v="147"/>
    <x v="1"/>
    <x v="6"/>
    <n v="7"/>
    <s v="Jul 2022"/>
    <x v="2"/>
    <x v="0"/>
    <n v="0"/>
  </r>
  <r>
    <x v="534"/>
    <x v="70"/>
    <x v="1"/>
    <x v="6"/>
    <n v="7"/>
    <s v="Jul 2022"/>
    <x v="2"/>
    <x v="0"/>
    <n v="0"/>
  </r>
  <r>
    <x v="535"/>
    <x v="147"/>
    <x v="1"/>
    <x v="6"/>
    <n v="7"/>
    <s v="Jul 2022"/>
    <x v="2"/>
    <x v="0"/>
    <n v="0"/>
  </r>
  <r>
    <x v="536"/>
    <x v="86"/>
    <x v="1"/>
    <x v="6"/>
    <n v="7"/>
    <s v="Jul 2022"/>
    <x v="2"/>
    <x v="0"/>
    <n v="0"/>
  </r>
  <r>
    <x v="537"/>
    <x v="151"/>
    <x v="1"/>
    <x v="6"/>
    <n v="7"/>
    <s v="Jul 2022"/>
    <x v="2"/>
    <x v="0"/>
    <n v="0"/>
  </r>
  <r>
    <x v="538"/>
    <x v="112"/>
    <x v="1"/>
    <x v="6"/>
    <n v="7"/>
    <s v="Jul 2022"/>
    <x v="2"/>
    <x v="0"/>
    <n v="0"/>
  </r>
  <r>
    <x v="539"/>
    <x v="70"/>
    <x v="1"/>
    <x v="6"/>
    <n v="7"/>
    <s v="Jul 2022"/>
    <x v="2"/>
    <x v="0"/>
    <n v="0"/>
  </r>
  <r>
    <x v="540"/>
    <x v="106"/>
    <x v="1"/>
    <x v="6"/>
    <n v="7"/>
    <s v="Jul 2022"/>
    <x v="2"/>
    <x v="0"/>
    <n v="0"/>
  </r>
  <r>
    <x v="541"/>
    <x v="147"/>
    <x v="1"/>
    <x v="6"/>
    <n v="7"/>
    <s v="Jul 2022"/>
    <x v="2"/>
    <x v="0"/>
    <n v="0"/>
  </r>
  <r>
    <x v="542"/>
    <x v="56"/>
    <x v="1"/>
    <x v="6"/>
    <n v="7"/>
    <s v="Jul 2022"/>
    <x v="2"/>
    <x v="0"/>
    <n v="0"/>
  </r>
  <r>
    <x v="543"/>
    <x v="150"/>
    <x v="1"/>
    <x v="6"/>
    <n v="7"/>
    <s v="Jul 2022"/>
    <x v="2"/>
    <x v="0"/>
    <n v="0"/>
  </r>
  <r>
    <x v="544"/>
    <x v="55"/>
    <x v="1"/>
    <x v="6"/>
    <n v="7"/>
    <s v="Jul 2022"/>
    <x v="2"/>
    <x v="0"/>
    <n v="0"/>
  </r>
  <r>
    <x v="545"/>
    <x v="70"/>
    <x v="1"/>
    <x v="6"/>
    <n v="7"/>
    <s v="Jul 2022"/>
    <x v="2"/>
    <x v="0"/>
    <n v="0"/>
  </r>
  <r>
    <x v="546"/>
    <x v="56"/>
    <x v="1"/>
    <x v="6"/>
    <n v="7"/>
    <s v="Jul 2022"/>
    <x v="2"/>
    <x v="0"/>
    <n v="0"/>
  </r>
  <r>
    <x v="547"/>
    <x v="150"/>
    <x v="1"/>
    <x v="6"/>
    <n v="7"/>
    <s v="Jul 2022"/>
    <x v="2"/>
    <x v="0"/>
    <n v="0"/>
  </r>
  <r>
    <x v="548"/>
    <x v="112"/>
    <x v="1"/>
    <x v="6"/>
    <n v="7"/>
    <s v="Jul 2022"/>
    <x v="2"/>
    <x v="0"/>
    <n v="0"/>
  </r>
  <r>
    <x v="549"/>
    <x v="112"/>
    <x v="1"/>
    <x v="6"/>
    <n v="7"/>
    <s v="Jul 2022"/>
    <x v="2"/>
    <x v="0"/>
    <n v="0"/>
  </r>
  <r>
    <x v="550"/>
    <x v="70"/>
    <x v="1"/>
    <x v="6"/>
    <n v="7"/>
    <s v="Jul 2022"/>
    <x v="2"/>
    <x v="0"/>
    <n v="0"/>
  </r>
  <r>
    <x v="551"/>
    <x v="105"/>
    <x v="1"/>
    <x v="6"/>
    <n v="7"/>
    <s v="Jul 2022"/>
    <x v="2"/>
    <x v="0"/>
    <n v="0"/>
  </r>
  <r>
    <x v="552"/>
    <x v="56"/>
    <x v="1"/>
    <x v="6"/>
    <n v="7"/>
    <s v="Jul 2022"/>
    <x v="2"/>
    <x v="0"/>
    <n v="0"/>
  </r>
  <r>
    <x v="553"/>
    <x v="105"/>
    <x v="1"/>
    <x v="6"/>
    <n v="7"/>
    <s v="Jul 2022"/>
    <x v="2"/>
    <x v="0"/>
    <n v="0"/>
  </r>
  <r>
    <x v="554"/>
    <x v="147"/>
    <x v="1"/>
    <x v="7"/>
    <n v="8"/>
    <s v="Aug 2022"/>
    <x v="2"/>
    <x v="0"/>
    <n v="0"/>
  </r>
  <r>
    <x v="555"/>
    <x v="146"/>
    <x v="1"/>
    <x v="7"/>
    <n v="8"/>
    <s v="Aug 2022"/>
    <x v="2"/>
    <x v="0"/>
    <n v="0"/>
  </r>
  <r>
    <x v="556"/>
    <x v="68"/>
    <x v="1"/>
    <x v="7"/>
    <n v="8"/>
    <s v="Aug 2022"/>
    <x v="2"/>
    <x v="0"/>
    <n v="0"/>
  </r>
  <r>
    <x v="557"/>
    <x v="107"/>
    <x v="1"/>
    <x v="7"/>
    <n v="8"/>
    <s v="Aug 2022"/>
    <x v="2"/>
    <x v="0"/>
    <n v="0"/>
  </r>
  <r>
    <x v="558"/>
    <x v="65"/>
    <x v="1"/>
    <x v="7"/>
    <n v="8"/>
    <s v="Aug 2022"/>
    <x v="2"/>
    <x v="0"/>
    <n v="0"/>
  </r>
  <r>
    <x v="559"/>
    <x v="6"/>
    <x v="1"/>
    <x v="7"/>
    <n v="8"/>
    <s v="Aug 2022"/>
    <x v="2"/>
    <x v="0"/>
    <n v="0"/>
  </r>
  <r>
    <x v="560"/>
    <x v="110"/>
    <x v="1"/>
    <x v="7"/>
    <n v="8"/>
    <s v="Aug 2022"/>
    <x v="2"/>
    <x v="0"/>
    <n v="0"/>
  </r>
  <r>
    <x v="561"/>
    <x v="65"/>
    <x v="1"/>
    <x v="7"/>
    <n v="8"/>
    <s v="Aug 2022"/>
    <x v="2"/>
    <x v="0"/>
    <n v="0"/>
  </r>
  <r>
    <x v="562"/>
    <x v="112"/>
    <x v="1"/>
    <x v="7"/>
    <n v="8"/>
    <s v="Aug 2022"/>
    <x v="2"/>
    <x v="0"/>
    <n v="0"/>
  </r>
  <r>
    <x v="563"/>
    <x v="111"/>
    <x v="1"/>
    <x v="7"/>
    <n v="8"/>
    <s v="Aug 2022"/>
    <x v="2"/>
    <x v="0"/>
    <n v="0"/>
  </r>
  <r>
    <x v="564"/>
    <x v="112"/>
    <x v="1"/>
    <x v="7"/>
    <n v="8"/>
    <s v="Aug 2022"/>
    <x v="2"/>
    <x v="0"/>
    <n v="0"/>
  </r>
  <r>
    <x v="565"/>
    <x v="105"/>
    <x v="1"/>
    <x v="7"/>
    <n v="8"/>
    <s v="Aug 2022"/>
    <x v="2"/>
    <x v="0"/>
    <n v="0"/>
  </r>
  <r>
    <x v="566"/>
    <x v="148"/>
    <x v="1"/>
    <x v="7"/>
    <n v="8"/>
    <s v="Aug 2022"/>
    <x v="2"/>
    <x v="0"/>
    <n v="0"/>
  </r>
  <r>
    <x v="567"/>
    <x v="6"/>
    <x v="1"/>
    <x v="7"/>
    <n v="8"/>
    <s v="Aug 2022"/>
    <x v="2"/>
    <x v="0"/>
    <n v="0"/>
  </r>
  <r>
    <x v="568"/>
    <x v="56"/>
    <x v="1"/>
    <x v="7"/>
    <n v="8"/>
    <s v="Aug 2022"/>
    <x v="2"/>
    <x v="0"/>
    <n v="0"/>
  </r>
  <r>
    <x v="569"/>
    <x v="86"/>
    <x v="1"/>
    <x v="7"/>
    <n v="8"/>
    <s v="Aug 2022"/>
    <x v="2"/>
    <x v="0"/>
    <n v="0"/>
  </r>
  <r>
    <x v="570"/>
    <x v="86"/>
    <x v="1"/>
    <x v="7"/>
    <n v="8"/>
    <s v="Aug 2022"/>
    <x v="2"/>
    <x v="0"/>
    <n v="0"/>
  </r>
  <r>
    <x v="571"/>
    <x v="6"/>
    <x v="1"/>
    <x v="7"/>
    <n v="8"/>
    <s v="Aug 2022"/>
    <x v="2"/>
    <x v="0"/>
    <n v="0"/>
  </r>
  <r>
    <x v="572"/>
    <x v="86"/>
    <x v="1"/>
    <x v="7"/>
    <n v="8"/>
    <s v="Aug 2022"/>
    <x v="2"/>
    <x v="0"/>
    <n v="0"/>
  </r>
  <r>
    <x v="573"/>
    <x v="106"/>
    <x v="1"/>
    <x v="7"/>
    <n v="8"/>
    <s v="Aug 2022"/>
    <x v="2"/>
    <x v="0"/>
    <n v="0"/>
  </r>
  <r>
    <x v="574"/>
    <x v="1"/>
    <x v="1"/>
    <x v="7"/>
    <n v="8"/>
    <s v="Aug 2022"/>
    <x v="2"/>
    <x v="0"/>
    <n v="0"/>
  </r>
  <r>
    <x v="575"/>
    <x v="105"/>
    <x v="1"/>
    <x v="7"/>
    <n v="8"/>
    <s v="Aug 2022"/>
    <x v="2"/>
    <x v="0"/>
    <n v="0"/>
  </r>
  <r>
    <x v="576"/>
    <x v="6"/>
    <x v="1"/>
    <x v="7"/>
    <n v="8"/>
    <s v="Aug 2022"/>
    <x v="2"/>
    <x v="0"/>
    <n v="0"/>
  </r>
  <r>
    <x v="577"/>
    <x v="147"/>
    <x v="1"/>
    <x v="7"/>
    <n v="8"/>
    <s v="Aug 2022"/>
    <x v="2"/>
    <x v="0"/>
    <n v="0"/>
  </r>
  <r>
    <x v="578"/>
    <x v="8"/>
    <x v="1"/>
    <x v="7"/>
    <n v="8"/>
    <s v="Aug 2022"/>
    <x v="2"/>
    <x v="0"/>
    <n v="0"/>
  </r>
  <r>
    <x v="579"/>
    <x v="110"/>
    <x v="1"/>
    <x v="7"/>
    <n v="8"/>
    <s v="Aug 2022"/>
    <x v="2"/>
    <x v="0"/>
    <n v="0"/>
  </r>
  <r>
    <x v="580"/>
    <x v="86"/>
    <x v="1"/>
    <x v="7"/>
    <n v="8"/>
    <s v="Aug 2022"/>
    <x v="2"/>
    <x v="0"/>
    <n v="0"/>
  </r>
  <r>
    <x v="581"/>
    <x v="65"/>
    <x v="1"/>
    <x v="7"/>
    <n v="8"/>
    <s v="Aug 2022"/>
    <x v="2"/>
    <x v="0"/>
    <n v="0"/>
  </r>
  <r>
    <x v="582"/>
    <x v="56"/>
    <x v="1"/>
    <x v="7"/>
    <n v="8"/>
    <s v="Aug 2022"/>
    <x v="2"/>
    <x v="0"/>
    <n v="0"/>
  </r>
  <r>
    <x v="583"/>
    <x v="111"/>
    <x v="1"/>
    <x v="7"/>
    <n v="8"/>
    <s v="Aug 2022"/>
    <x v="2"/>
    <x v="0"/>
    <n v="0"/>
  </r>
  <r>
    <x v="584"/>
    <x v="116"/>
    <x v="1"/>
    <x v="7"/>
    <n v="8"/>
    <s v="Aug 2022"/>
    <x v="2"/>
    <x v="0"/>
    <n v="0"/>
  </r>
  <r>
    <x v="585"/>
    <x v="58"/>
    <x v="1"/>
    <x v="8"/>
    <n v="9"/>
    <s v="Sept 2022"/>
    <x v="2"/>
    <x v="0"/>
    <n v="0"/>
  </r>
  <r>
    <x v="586"/>
    <x v="159"/>
    <x v="1"/>
    <x v="8"/>
    <n v="9"/>
    <s v="Sept 2022"/>
    <x v="2"/>
    <x v="0"/>
    <n v="0"/>
  </r>
  <r>
    <x v="587"/>
    <x v="160"/>
    <x v="1"/>
    <x v="8"/>
    <n v="9"/>
    <s v="Sept 2022"/>
    <x v="2"/>
    <x v="0"/>
    <n v="0"/>
  </r>
  <r>
    <x v="588"/>
    <x v="151"/>
    <x v="1"/>
    <x v="8"/>
    <n v="9"/>
    <s v="Sept 2022"/>
    <x v="2"/>
    <x v="0"/>
    <n v="0"/>
  </r>
  <r>
    <x v="589"/>
    <x v="158"/>
    <x v="1"/>
    <x v="8"/>
    <n v="9"/>
    <s v="Sept 2022"/>
    <x v="2"/>
    <x v="0"/>
    <n v="0"/>
  </r>
  <r>
    <x v="590"/>
    <x v="152"/>
    <x v="1"/>
    <x v="8"/>
    <n v="9"/>
    <s v="Sept 2022"/>
    <x v="2"/>
    <x v="0"/>
    <n v="0"/>
  </r>
  <r>
    <x v="591"/>
    <x v="159"/>
    <x v="1"/>
    <x v="8"/>
    <n v="9"/>
    <s v="Sept 2022"/>
    <x v="2"/>
    <x v="0"/>
    <n v="0"/>
  </r>
  <r>
    <x v="592"/>
    <x v="116"/>
    <x v="1"/>
    <x v="8"/>
    <n v="9"/>
    <s v="Sept 2022"/>
    <x v="2"/>
    <x v="0"/>
    <n v="0"/>
  </r>
  <r>
    <x v="593"/>
    <x v="114"/>
    <x v="1"/>
    <x v="8"/>
    <n v="9"/>
    <s v="Sept 2022"/>
    <x v="2"/>
    <x v="0"/>
    <n v="0"/>
  </r>
  <r>
    <x v="594"/>
    <x v="161"/>
    <x v="1"/>
    <x v="8"/>
    <n v="9"/>
    <s v="Sept 2022"/>
    <x v="2"/>
    <x v="0"/>
    <n v="0"/>
  </r>
  <r>
    <x v="595"/>
    <x v="86"/>
    <x v="1"/>
    <x v="8"/>
    <n v="9"/>
    <s v="Sept 2022"/>
    <x v="2"/>
    <x v="0"/>
    <n v="0"/>
  </r>
  <r>
    <x v="596"/>
    <x v="154"/>
    <x v="1"/>
    <x v="8"/>
    <n v="9"/>
    <s v="Sept 2022"/>
    <x v="2"/>
    <x v="0"/>
    <n v="0"/>
  </r>
  <r>
    <x v="597"/>
    <x v="108"/>
    <x v="1"/>
    <x v="8"/>
    <n v="9"/>
    <s v="Sept 2022"/>
    <x v="2"/>
    <x v="0"/>
    <n v="0"/>
  </r>
  <r>
    <x v="598"/>
    <x v="107"/>
    <x v="1"/>
    <x v="8"/>
    <n v="9"/>
    <s v="Sept 2022"/>
    <x v="2"/>
    <x v="0"/>
    <n v="0"/>
  </r>
  <r>
    <x v="599"/>
    <x v="109"/>
    <x v="1"/>
    <x v="8"/>
    <n v="9"/>
    <s v="Sept 2022"/>
    <x v="2"/>
    <x v="0"/>
    <n v="0"/>
  </r>
  <r>
    <x v="600"/>
    <x v="116"/>
    <x v="1"/>
    <x v="8"/>
    <n v="9"/>
    <s v="Sept 2022"/>
    <x v="2"/>
    <x v="0"/>
    <n v="0"/>
  </r>
  <r>
    <x v="601"/>
    <x v="106"/>
    <x v="1"/>
    <x v="8"/>
    <n v="9"/>
    <s v="Sept 2022"/>
    <x v="2"/>
    <x v="0"/>
    <n v="0"/>
  </r>
  <r>
    <x v="602"/>
    <x v="113"/>
    <x v="1"/>
    <x v="8"/>
    <n v="9"/>
    <s v="Sept 2022"/>
    <x v="2"/>
    <x v="0"/>
    <n v="0"/>
  </r>
  <r>
    <x v="603"/>
    <x v="111"/>
    <x v="1"/>
    <x v="8"/>
    <n v="9"/>
    <s v="Sept 2022"/>
    <x v="2"/>
    <x v="0"/>
    <n v="0"/>
  </r>
  <r>
    <x v="604"/>
    <x v="65"/>
    <x v="1"/>
    <x v="8"/>
    <n v="9"/>
    <s v="Sept 2022"/>
    <x v="2"/>
    <x v="0"/>
    <n v="0"/>
  </r>
  <r>
    <x v="605"/>
    <x v="3"/>
    <x v="1"/>
    <x v="8"/>
    <n v="9"/>
    <s v="Sept 2022"/>
    <x v="2"/>
    <x v="0"/>
    <n v="0"/>
  </r>
  <r>
    <x v="606"/>
    <x v="55"/>
    <x v="1"/>
    <x v="8"/>
    <n v="9"/>
    <s v="Sept 2022"/>
    <x v="2"/>
    <x v="0"/>
    <n v="0"/>
  </r>
  <r>
    <x v="607"/>
    <x v="105"/>
    <x v="1"/>
    <x v="8"/>
    <n v="9"/>
    <s v="Sept 2022"/>
    <x v="2"/>
    <x v="0"/>
    <n v="0"/>
  </r>
  <r>
    <x v="608"/>
    <x v="161"/>
    <x v="1"/>
    <x v="8"/>
    <n v="9"/>
    <s v="Sept 2022"/>
    <x v="2"/>
    <x v="0"/>
    <n v="0"/>
  </r>
  <r>
    <x v="609"/>
    <x v="109"/>
    <x v="1"/>
    <x v="8"/>
    <n v="9"/>
    <s v="Sept 2022"/>
    <x v="2"/>
    <x v="0"/>
    <n v="0"/>
  </r>
  <r>
    <x v="610"/>
    <x v="115"/>
    <x v="1"/>
    <x v="8"/>
    <n v="9"/>
    <s v="Sept 2022"/>
    <x v="2"/>
    <x v="0"/>
    <n v="0"/>
  </r>
  <r>
    <x v="611"/>
    <x v="86"/>
    <x v="1"/>
    <x v="8"/>
    <n v="9"/>
    <s v="Sept 2022"/>
    <x v="2"/>
    <x v="0"/>
    <n v="0"/>
  </r>
  <r>
    <x v="612"/>
    <x v="65"/>
    <x v="1"/>
    <x v="8"/>
    <n v="9"/>
    <s v="Sept 2022"/>
    <x v="2"/>
    <x v="0"/>
    <n v="0"/>
  </r>
  <r>
    <x v="613"/>
    <x v="5"/>
    <x v="1"/>
    <x v="8"/>
    <n v="9"/>
    <s v="Sept 2022"/>
    <x v="2"/>
    <x v="0"/>
    <n v="0"/>
  </r>
  <r>
    <x v="614"/>
    <x v="159"/>
    <x v="1"/>
    <x v="8"/>
    <n v="9"/>
    <s v="Sept 2022"/>
    <x v="2"/>
    <x v="0"/>
    <n v="0"/>
  </r>
  <r>
    <x v="615"/>
    <x v="160"/>
    <x v="1"/>
    <x v="9"/>
    <n v="10"/>
    <s v="Oct 2022"/>
    <x v="3"/>
    <x v="0"/>
    <n v="0"/>
  </r>
  <r>
    <x v="616"/>
    <x v="111"/>
    <x v="1"/>
    <x v="9"/>
    <n v="10"/>
    <s v="Oct 2022"/>
    <x v="3"/>
    <x v="0"/>
    <n v="0"/>
  </r>
  <r>
    <x v="617"/>
    <x v="147"/>
    <x v="1"/>
    <x v="9"/>
    <n v="10"/>
    <s v="Oct 2022"/>
    <x v="3"/>
    <x v="0"/>
    <n v="0"/>
  </r>
  <r>
    <x v="618"/>
    <x v="155"/>
    <x v="1"/>
    <x v="9"/>
    <n v="10"/>
    <s v="Oct 2022"/>
    <x v="3"/>
    <x v="0"/>
    <n v="0"/>
  </r>
  <r>
    <x v="619"/>
    <x v="147"/>
    <x v="1"/>
    <x v="9"/>
    <n v="10"/>
    <s v="Oct 2022"/>
    <x v="3"/>
    <x v="0"/>
    <n v="0"/>
  </r>
  <r>
    <x v="620"/>
    <x v="149"/>
    <x v="1"/>
    <x v="11"/>
    <n v="12"/>
    <s v="Dec 2022"/>
    <x v="3"/>
    <x v="0"/>
    <n v="0"/>
  </r>
  <r>
    <x v="621"/>
    <x v="72"/>
    <x v="1"/>
    <x v="11"/>
    <n v="12"/>
    <s v="Dec 2022"/>
    <x v="3"/>
    <x v="0"/>
    <n v="0"/>
  </r>
  <r>
    <x v="622"/>
    <x v="149"/>
    <x v="1"/>
    <x v="11"/>
    <n v="12"/>
    <s v="Dec 2022"/>
    <x v="3"/>
    <x v="0"/>
    <n v="0"/>
  </r>
  <r>
    <x v="623"/>
    <x v="15"/>
    <x v="1"/>
    <x v="11"/>
    <n v="12"/>
    <s v="Dec 2022"/>
    <x v="3"/>
    <x v="0"/>
    <n v="0"/>
  </r>
  <r>
    <x v="624"/>
    <x v="97"/>
    <x v="1"/>
    <x v="11"/>
    <n v="12"/>
    <s v="Dec 2022"/>
    <x v="3"/>
    <x v="0"/>
    <n v="0"/>
  </r>
  <r>
    <x v="625"/>
    <x v="162"/>
    <x v="1"/>
    <x v="11"/>
    <n v="12"/>
    <s v="Dec 2022"/>
    <x v="3"/>
    <x v="0"/>
    <n v="0"/>
  </r>
  <r>
    <x v="626"/>
    <x v="163"/>
    <x v="1"/>
    <x v="11"/>
    <n v="12"/>
    <s v="Dec 2022"/>
    <x v="3"/>
    <x v="0"/>
    <n v="0"/>
  </r>
  <r>
    <x v="627"/>
    <x v="164"/>
    <x v="2"/>
    <x v="0"/>
    <n v="1"/>
    <s v="Jan 2023"/>
    <x v="0"/>
    <x v="0"/>
    <n v="0"/>
  </r>
  <r>
    <x v="628"/>
    <x v="165"/>
    <x v="2"/>
    <x v="0"/>
    <n v="1"/>
    <s v="Jan 2023"/>
    <x v="0"/>
    <x v="0"/>
    <n v="0"/>
  </r>
  <r>
    <x v="629"/>
    <x v="166"/>
    <x v="2"/>
    <x v="0"/>
    <n v="1"/>
    <s v="Jan 2023"/>
    <x v="0"/>
    <x v="0"/>
    <n v="0"/>
  </r>
  <r>
    <x v="630"/>
    <x v="167"/>
    <x v="2"/>
    <x v="0"/>
    <n v="1"/>
    <s v="Jan 2023"/>
    <x v="0"/>
    <x v="0"/>
    <n v="0"/>
  </r>
  <r>
    <x v="631"/>
    <x v="127"/>
    <x v="2"/>
    <x v="0"/>
    <n v="1"/>
    <s v="Jan 2023"/>
    <x v="0"/>
    <x v="1"/>
    <n v="0"/>
  </r>
  <r>
    <x v="632"/>
    <x v="127"/>
    <x v="2"/>
    <x v="0"/>
    <n v="1"/>
    <s v="Jan 2023"/>
    <x v="0"/>
    <x v="1"/>
    <n v="0"/>
  </r>
  <r>
    <x v="633"/>
    <x v="168"/>
    <x v="2"/>
    <x v="0"/>
    <n v="1"/>
    <s v="Jan 2023"/>
    <x v="0"/>
    <x v="0"/>
    <n v="0"/>
  </r>
  <r>
    <x v="634"/>
    <x v="49"/>
    <x v="2"/>
    <x v="0"/>
    <n v="1"/>
    <s v="Jan 2023"/>
    <x v="0"/>
    <x v="0"/>
    <n v="0"/>
  </r>
  <r>
    <x v="635"/>
    <x v="108"/>
    <x v="2"/>
    <x v="2"/>
    <n v="3"/>
    <s v="Mar 2023"/>
    <x v="0"/>
    <x v="0"/>
    <n v="0"/>
  </r>
  <r>
    <x v="636"/>
    <x v="68"/>
    <x v="2"/>
    <x v="2"/>
    <n v="3"/>
    <s v="Mar 2023"/>
    <x v="0"/>
    <x v="0"/>
    <n v="0"/>
  </r>
  <r>
    <x v="637"/>
    <x v="58"/>
    <x v="2"/>
    <x v="2"/>
    <n v="3"/>
    <s v="Mar 2023"/>
    <x v="0"/>
    <x v="0"/>
    <n v="0"/>
  </r>
  <r>
    <x v="638"/>
    <x v="111"/>
    <x v="2"/>
    <x v="2"/>
    <n v="3"/>
    <s v="Mar 2023"/>
    <x v="0"/>
    <x v="0"/>
    <n v="0"/>
  </r>
  <r>
    <x v="639"/>
    <x v="151"/>
    <x v="2"/>
    <x v="2"/>
    <n v="3"/>
    <s v="Mar 2023"/>
    <x v="0"/>
    <x v="0"/>
    <n v="0"/>
  </r>
  <r>
    <x v="640"/>
    <x v="1"/>
    <x v="2"/>
    <x v="2"/>
    <n v="3"/>
    <s v="Mar 2023"/>
    <x v="0"/>
    <x v="0"/>
    <n v="0"/>
  </r>
  <r>
    <x v="641"/>
    <x v="103"/>
    <x v="2"/>
    <x v="2"/>
    <n v="3"/>
    <s v="Mar 2023"/>
    <x v="0"/>
    <x v="0"/>
    <n v="0"/>
  </r>
  <r>
    <x v="642"/>
    <x v="55"/>
    <x v="2"/>
    <x v="2"/>
    <n v="3"/>
    <s v="Mar 2023"/>
    <x v="0"/>
    <x v="0"/>
    <n v="0"/>
  </r>
  <r>
    <x v="643"/>
    <x v="113"/>
    <x v="2"/>
    <x v="2"/>
    <n v="3"/>
    <s v="Mar 2023"/>
    <x v="0"/>
    <x v="0"/>
    <n v="0"/>
  </r>
  <r>
    <x v="644"/>
    <x v="151"/>
    <x v="2"/>
    <x v="2"/>
    <n v="3"/>
    <s v="Mar 2023"/>
    <x v="0"/>
    <x v="0"/>
    <n v="0"/>
  </r>
  <r>
    <x v="645"/>
    <x v="150"/>
    <x v="2"/>
    <x v="2"/>
    <n v="3"/>
    <s v="Mar 2023"/>
    <x v="0"/>
    <x v="0"/>
    <n v="0"/>
  </r>
  <r>
    <x v="646"/>
    <x v="7"/>
    <x v="2"/>
    <x v="2"/>
    <n v="3"/>
    <s v="Mar 2023"/>
    <x v="0"/>
    <x v="0"/>
    <n v="0"/>
  </r>
  <r>
    <x v="647"/>
    <x v="151"/>
    <x v="2"/>
    <x v="2"/>
    <n v="3"/>
    <s v="Mar 2023"/>
    <x v="0"/>
    <x v="0"/>
    <n v="0"/>
  </r>
  <r>
    <x v="648"/>
    <x v="106"/>
    <x v="2"/>
    <x v="2"/>
    <n v="3"/>
    <s v="Mar 2023"/>
    <x v="0"/>
    <x v="0"/>
    <n v="0"/>
  </r>
  <r>
    <x v="649"/>
    <x v="116"/>
    <x v="2"/>
    <x v="2"/>
    <n v="3"/>
    <s v="Mar 2023"/>
    <x v="0"/>
    <x v="0"/>
    <n v="0"/>
  </r>
  <r>
    <x v="650"/>
    <x v="169"/>
    <x v="2"/>
    <x v="2"/>
    <n v="3"/>
    <s v="Mar 2023"/>
    <x v="0"/>
    <x v="0"/>
    <n v="0"/>
  </r>
  <r>
    <x v="651"/>
    <x v="148"/>
    <x v="2"/>
    <x v="2"/>
    <n v="3"/>
    <s v="Mar 2023"/>
    <x v="0"/>
    <x v="0"/>
    <n v="0"/>
  </r>
  <r>
    <x v="652"/>
    <x v="156"/>
    <x v="2"/>
    <x v="2"/>
    <n v="3"/>
    <s v="Mar 2023"/>
    <x v="0"/>
    <x v="0"/>
    <n v="0"/>
  </r>
  <r>
    <x v="653"/>
    <x v="86"/>
    <x v="2"/>
    <x v="2"/>
    <n v="3"/>
    <s v="Mar 2023"/>
    <x v="0"/>
    <x v="0"/>
    <n v="0"/>
  </r>
  <r>
    <x v="654"/>
    <x v="117"/>
    <x v="2"/>
    <x v="2"/>
    <n v="3"/>
    <s v="Mar 2023"/>
    <x v="0"/>
    <x v="0"/>
    <n v="0"/>
  </r>
  <r>
    <x v="655"/>
    <x v="170"/>
    <x v="2"/>
    <x v="2"/>
    <n v="3"/>
    <s v="Mar 2023"/>
    <x v="0"/>
    <x v="0"/>
    <n v="0"/>
  </r>
  <r>
    <x v="656"/>
    <x v="152"/>
    <x v="2"/>
    <x v="2"/>
    <n v="3"/>
    <s v="Mar 2023"/>
    <x v="0"/>
    <x v="0"/>
    <n v="0"/>
  </r>
  <r>
    <x v="657"/>
    <x v="171"/>
    <x v="2"/>
    <x v="2"/>
    <n v="3"/>
    <s v="Mar 2023"/>
    <x v="0"/>
    <x v="0"/>
    <n v="0"/>
  </r>
  <r>
    <x v="658"/>
    <x v="160"/>
    <x v="2"/>
    <x v="2"/>
    <n v="3"/>
    <s v="Mar 2023"/>
    <x v="0"/>
    <x v="0"/>
    <n v="0"/>
  </r>
  <r>
    <x v="659"/>
    <x v="86"/>
    <x v="2"/>
    <x v="2"/>
    <n v="3"/>
    <s v="Mar 2023"/>
    <x v="0"/>
    <x v="0"/>
    <n v="0"/>
  </r>
  <r>
    <x v="660"/>
    <x v="8"/>
    <x v="2"/>
    <x v="2"/>
    <n v="3"/>
    <s v="Mar 2023"/>
    <x v="0"/>
    <x v="0"/>
    <n v="0"/>
  </r>
  <r>
    <x v="661"/>
    <x v="5"/>
    <x v="2"/>
    <x v="3"/>
    <n v="4"/>
    <s v="Apr 2023"/>
    <x v="1"/>
    <x v="0"/>
    <n v="0"/>
  </r>
  <r>
    <x v="662"/>
    <x v="151"/>
    <x v="2"/>
    <x v="3"/>
    <n v="4"/>
    <s v="Apr 2023"/>
    <x v="1"/>
    <x v="0"/>
    <n v="0"/>
  </r>
  <r>
    <x v="663"/>
    <x v="106"/>
    <x v="2"/>
    <x v="3"/>
    <n v="4"/>
    <s v="Apr 2023"/>
    <x v="1"/>
    <x v="0"/>
    <n v="0"/>
  </r>
  <r>
    <x v="664"/>
    <x v="0"/>
    <x v="2"/>
    <x v="3"/>
    <n v="4"/>
    <s v="Apr 2023"/>
    <x v="1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6B67E-BBBB-4088-A442-EFEA7972819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K6:L11" firstHeaderRow="1" firstDataRow="1" firstDataCol="1"/>
  <pivotFields count="12">
    <pivotField numFmtId="14" showAll="0">
      <items count="6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t="default"/>
      </items>
    </pivotField>
    <pivotField dataField="1" showAll="0"/>
    <pivotField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m25" fld="1" subtotal="average" baseField="0" baseItem="0" numFmtId="1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49DF6-97FD-4A41-A66B-850CB17689C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7">
  <location ref="H6:I19" firstHeaderRow="1" firstDataRow="1" firstDataCol="1"/>
  <pivotFields count="12">
    <pivotField numFmtId="14" showAll="0">
      <items count="6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t="default"/>
      </items>
    </pivotField>
    <pivotField dataField="1" showAll="0"/>
    <pivotField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pm25" fld="1" subtotal="average" baseField="0" baseItem="0" numFmtId="1"/>
  </dataFields>
  <formats count="9">
    <format dxfId="16">
      <pivotArea outline="0" collapsedLevelsAreSubtotals="1" fieldPosition="0"/>
    </format>
    <format dxfId="15">
      <pivotArea collapsedLevelsAreSubtotals="1" fieldPosition="0">
        <references count="1">
          <reference field="3" count="1">
            <x v="11"/>
          </reference>
        </references>
      </pivotArea>
    </format>
    <format dxfId="14">
      <pivotArea collapsedLevelsAreSubtotals="1" fieldPosition="0">
        <references count="1">
          <reference field="3" count="1">
            <x v="10"/>
          </reference>
        </references>
      </pivotArea>
    </format>
    <format dxfId="13">
      <pivotArea collapsedLevelsAreSubtotals="1" fieldPosition="0">
        <references count="1">
          <reference field="3" count="1">
            <x v="8"/>
          </reference>
        </references>
      </pivotArea>
    </format>
    <format dxfId="12">
      <pivotArea collapsedLevelsAreSubtotals="1" fieldPosition="0">
        <references count="1">
          <reference field="3" count="5">
            <x v="2"/>
            <x v="3"/>
            <x v="4"/>
            <x v="5"/>
            <x v="6"/>
          </reference>
        </references>
      </pivotArea>
    </format>
    <format dxfId="11">
      <pivotArea collapsedLevelsAreSubtotals="1" fieldPosition="0">
        <references count="1">
          <reference field="3" count="1">
            <x v="9"/>
          </reference>
        </references>
      </pivotArea>
    </format>
    <format dxfId="10">
      <pivotArea collapsedLevelsAreSubtotals="1" fieldPosition="0">
        <references count="1">
          <reference field="3" count="1">
            <x v="7"/>
          </reference>
        </references>
      </pivotArea>
    </format>
    <format dxfId="9">
      <pivotArea collapsedLevelsAreSubtotals="1" fieldPosition="0">
        <references count="1">
          <reference field="3" count="1">
            <x v="1"/>
          </reference>
        </references>
      </pivotArea>
    </format>
    <format dxfId="8">
      <pivotArea collapsedLevelsAreSubtotals="1" fieldPosition="0">
        <references count="1">
          <reference field="3" count="1">
            <x v="0"/>
          </reference>
        </references>
      </pivotArea>
    </format>
  </formats>
  <chartFormats count="40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7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7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7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7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7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7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7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7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2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3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3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3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3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3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3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3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3DC4B-11D2-4486-AE59-30FA9DAED58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3">
  <location ref="D3:E6" firstHeaderRow="1" firstDataRow="1" firstDataCol="1"/>
  <pivotFields count="12">
    <pivotField numFmtId="14" showAll="0">
      <items count="6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days of Air Quality Status" fld="7" subtotal="count" baseField="7" baseItem="0"/>
  </dataFields>
  <chartFormats count="1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CAC62-AC77-4DE4-8AD9-DFD4A7A028D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1">
  <location ref="A3:B7" firstHeaderRow="1" firstDataRow="1" firstDataCol="1"/>
  <pivotFields count="12">
    <pivotField numFmtId="14" showAll="0">
      <items count="6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t="default"/>
      </items>
    </pivotField>
    <pivotField dataField="1" showAll="0">
      <items count="173">
        <item x="127"/>
        <item x="126"/>
        <item x="125"/>
        <item x="124"/>
        <item x="123"/>
        <item x="120"/>
        <item x="122"/>
        <item x="121"/>
        <item x="153"/>
        <item x="170"/>
        <item x="169"/>
        <item x="119"/>
        <item x="171"/>
        <item x="160"/>
        <item x="118"/>
        <item x="117"/>
        <item x="155"/>
        <item x="116"/>
        <item x="114"/>
        <item x="58"/>
        <item x="156"/>
        <item x="152"/>
        <item x="159"/>
        <item x="154"/>
        <item x="158"/>
        <item x="113"/>
        <item x="109"/>
        <item x="115"/>
        <item x="108"/>
        <item x="161"/>
        <item x="111"/>
        <item x="110"/>
        <item x="151"/>
        <item x="112"/>
        <item x="65"/>
        <item x="86"/>
        <item x="107"/>
        <item x="70"/>
        <item x="105"/>
        <item x="106"/>
        <item x="6"/>
        <item x="56"/>
        <item x="147"/>
        <item x="5"/>
        <item x="3"/>
        <item x="148"/>
        <item x="55"/>
        <item x="7"/>
        <item x="68"/>
        <item x="4"/>
        <item x="150"/>
        <item x="104"/>
        <item x="8"/>
        <item x="66"/>
        <item x="64"/>
        <item x="9"/>
        <item x="57"/>
        <item x="10"/>
        <item x="53"/>
        <item x="1"/>
        <item x="157"/>
        <item x="54"/>
        <item x="52"/>
        <item x="103"/>
        <item x="37"/>
        <item x="11"/>
        <item x="12"/>
        <item x="146"/>
        <item x="87"/>
        <item x="35"/>
        <item x="51"/>
        <item x="2"/>
        <item x="13"/>
        <item x="74"/>
        <item x="36"/>
        <item x="63"/>
        <item x="25"/>
        <item x="0"/>
        <item x="30"/>
        <item x="33"/>
        <item x="77"/>
        <item x="79"/>
        <item x="31"/>
        <item x="75"/>
        <item x="102"/>
        <item x="38"/>
        <item x="26"/>
        <item x="32"/>
        <item x="72"/>
        <item x="34"/>
        <item x="14"/>
        <item x="73"/>
        <item x="29"/>
        <item x="69"/>
        <item x="76"/>
        <item x="78"/>
        <item x="101"/>
        <item x="67"/>
        <item x="24"/>
        <item x="27"/>
        <item x="71"/>
        <item x="145"/>
        <item x="48"/>
        <item x="62"/>
        <item x="88"/>
        <item x="49"/>
        <item x="89"/>
        <item x="100"/>
        <item x="28"/>
        <item x="23"/>
        <item x="50"/>
        <item x="59"/>
        <item x="90"/>
        <item x="83"/>
        <item x="81"/>
        <item x="149"/>
        <item x="91"/>
        <item x="82"/>
        <item x="98"/>
        <item x="47"/>
        <item x="99"/>
        <item x="95"/>
        <item x="96"/>
        <item x="22"/>
        <item x="84"/>
        <item x="80"/>
        <item x="60"/>
        <item x="46"/>
        <item x="61"/>
        <item x="92"/>
        <item x="93"/>
        <item x="94"/>
        <item x="97"/>
        <item x="144"/>
        <item x="85"/>
        <item x="15"/>
        <item x="143"/>
        <item x="142"/>
        <item x="21"/>
        <item x="162"/>
        <item x="141"/>
        <item x="140"/>
        <item x="45"/>
        <item x="20"/>
        <item x="44"/>
        <item x="39"/>
        <item x="19"/>
        <item x="43"/>
        <item x="133"/>
        <item x="168"/>
        <item x="135"/>
        <item x="17"/>
        <item x="139"/>
        <item x="128"/>
        <item x="16"/>
        <item x="132"/>
        <item x="134"/>
        <item x="18"/>
        <item x="131"/>
        <item x="130"/>
        <item x="138"/>
        <item x="129"/>
        <item x="136"/>
        <item x="163"/>
        <item x="40"/>
        <item x="42"/>
        <item x="166"/>
        <item x="137"/>
        <item x="165"/>
        <item x="41"/>
        <item x="164"/>
        <item x="167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m25" fld="1" subtotal="average" baseField="0" baseItem="0" numFmtId="1"/>
  </dataFields>
  <formats count="1">
    <format dxfId="17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BED02D-B38E-4A47-9673-B95B1E13B2BD}" name="AirQuality" displayName="AirQuality" ref="A1:M666">
  <autoFilter ref="A1:M666" xr:uid="{D2BED02D-B38E-4A47-9673-B95B1E13B2BD}"/>
  <sortState xmlns:xlrd2="http://schemas.microsoft.com/office/spreadsheetml/2017/richdata2" ref="A2:M666">
    <sortCondition ref="A1:A666"/>
  </sortState>
  <tableColumns count="13">
    <tableColumn id="1" xr3:uid="{91493894-3189-4E26-9507-EBBCC4B5012E}" name="date" totalsRowLabel="Total" dataDxfId="6"/>
    <tableColumn id="2" xr3:uid="{7771857D-C202-4464-B2C4-37F98CED8F77}" name="pm25  (ug/m3)"/>
    <tableColumn id="3" xr3:uid="{DD1C0745-55A4-4532-AEC6-13391924D9E0}" name="year">
      <calculatedColumnFormula>YEAR(A2)</calculatedColumnFormula>
    </tableColumn>
    <tableColumn id="4" xr3:uid="{AD8CC16C-F738-4A88-A2BB-9769E8CADCFD}" name="month">
      <calculatedColumnFormula>TEXT(A2,"mmmm")</calculatedColumnFormula>
    </tableColumn>
    <tableColumn id="5" xr3:uid="{711DFEEF-2A5D-4875-AFFC-F6C093253563}" name="month_no">
      <calculatedColumnFormula>MONTH(A2)</calculatedColumnFormula>
    </tableColumn>
    <tableColumn id="6" xr3:uid="{5D2E0AFA-EFB4-4F39-B32D-3E30E0CF0829}" name="month/year">
      <calculatedColumnFormula>TEXT(A2,"mmm yyyy")</calculatedColumnFormula>
    </tableColumn>
    <tableColumn id="7" xr3:uid="{325455A2-C8B8-46F0-A142-79DA07055D36}" name="quaterly">
      <calculatedColumnFormula>"Q"&amp;ROUNDUP(MONTH(A2)/3,0)</calculatedColumnFormula>
    </tableColumn>
    <tableColumn id="14" xr3:uid="{69A5BFE7-CFB9-4227-BA4E-EA41C3936ABC}" name="Unsafe_days" dataDxfId="5">
      <calculatedColumnFormula>IF(AirQuality[[#This Row],[pm25  (ug/m3)]]&gt;15,1,0)</calculatedColumnFormula>
    </tableColumn>
    <tableColumn id="8" xr3:uid="{7E83DF9E-01B1-47F8-8884-85A7E437735E}" name="Air Quality Status" dataDxfId="4">
      <calculatedColumnFormula>IF(B2&gt;15,"unsafe","safe")</calculatedColumnFormula>
    </tableColumn>
    <tableColumn id="9" xr3:uid="{EEE2F0B5-D914-4C06-93DD-B712ADB4663C}" name="unsafe_streak" dataDxfId="3">
      <calculatedColumnFormula>IF(AirQuality[[#This Row],[Air Quality Status]]="unsafe",1,0)</calculatedColumnFormula>
    </tableColumn>
    <tableColumn id="11" xr3:uid="{84C1742F-B16F-4AC4-A226-A3308306342E}" name="Total number of days" dataDxfId="2">
      <calculatedColumnFormula>COUNTA(AirQuality[pm25  (ug/m3)])</calculatedColumnFormula>
    </tableColumn>
    <tableColumn id="12" xr3:uid="{115E5F9E-0AF7-48C5-A95D-16B1A7062097}" name="unsafe days" dataDxfId="1">
      <calculatedColumnFormula>COUNTIF(AirQuality[Air Quality Status],"unsafe")</calculatedColumnFormula>
    </tableColumn>
    <tableColumn id="13" xr3:uid="{8F5F3A68-EB89-49E2-A68B-7244504365C5}" name="% of unsafe days" dataDxfId="0">
      <calculatedColumnFormula>AirQuality[[#This Row],[unsafe days]]/AirQuality[[#This Row],[Total number of days]]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60AA-1F24-4B54-B6DD-90599D1A84AC}">
  <dimension ref="A1:S41"/>
  <sheetViews>
    <sheetView zoomScale="59" zoomScaleNormal="80" workbookViewId="0">
      <selection activeCell="I26" sqref="I26"/>
    </sheetView>
  </sheetViews>
  <sheetFormatPr defaultRowHeight="14.4" x14ac:dyDescent="0.3"/>
  <cols>
    <col min="1" max="1" width="13.5546875" bestFit="1" customWidth="1"/>
    <col min="2" max="2" width="14.88671875" bestFit="1" customWidth="1"/>
    <col min="4" max="4" width="13.5546875" bestFit="1" customWidth="1"/>
    <col min="5" max="5" width="40.88671875" bestFit="1" customWidth="1"/>
    <col min="6" max="6" width="6.44140625" bestFit="1" customWidth="1"/>
    <col min="7" max="7" width="4.5546875" customWidth="1"/>
    <col min="8" max="8" width="20.77734375" bestFit="1" customWidth="1"/>
    <col min="9" max="9" width="15.44140625" bestFit="1" customWidth="1"/>
    <col min="10" max="10" width="3.21875" customWidth="1"/>
    <col min="11" max="11" width="12.44140625" bestFit="1" customWidth="1"/>
    <col min="12" max="12" width="14.6640625" bestFit="1" customWidth="1"/>
    <col min="13" max="13" width="12.33203125" bestFit="1" customWidth="1"/>
    <col min="14" max="14" width="38.88671875" bestFit="1" customWidth="1"/>
    <col min="19" max="19" width="64" bestFit="1" customWidth="1"/>
  </cols>
  <sheetData>
    <row r="1" spans="1:19" x14ac:dyDescent="0.3">
      <c r="A1" s="15">
        <v>1</v>
      </c>
      <c r="D1" s="15">
        <v>2</v>
      </c>
      <c r="H1" s="15">
        <v>3</v>
      </c>
      <c r="S1" s="15">
        <v>6</v>
      </c>
    </row>
    <row r="2" spans="1:19" x14ac:dyDescent="0.3">
      <c r="H2" s="6" t="s">
        <v>32</v>
      </c>
      <c r="S2" t="s">
        <v>39</v>
      </c>
    </row>
    <row r="3" spans="1:19" x14ac:dyDescent="0.3">
      <c r="A3" s="2" t="s">
        <v>8</v>
      </c>
      <c r="B3" t="s">
        <v>10</v>
      </c>
      <c r="D3" s="2" t="s">
        <v>8</v>
      </c>
      <c r="E3" t="s">
        <v>41</v>
      </c>
      <c r="H3">
        <f>MAX(AirQuality[unsafe_streak])</f>
        <v>329</v>
      </c>
      <c r="S3" t="s">
        <v>40</v>
      </c>
    </row>
    <row r="4" spans="1:19" x14ac:dyDescent="0.3">
      <c r="A4" s="3">
        <v>2021</v>
      </c>
      <c r="B4" s="4">
        <v>107.7816091954023</v>
      </c>
      <c r="D4" s="3" t="s">
        <v>17</v>
      </c>
      <c r="E4">
        <v>24</v>
      </c>
    </row>
    <row r="5" spans="1:19" x14ac:dyDescent="0.3">
      <c r="A5" s="3">
        <v>2022</v>
      </c>
      <c r="B5" s="4">
        <v>87.318996415770613</v>
      </c>
      <c r="D5" s="3" t="s">
        <v>18</v>
      </c>
      <c r="E5">
        <v>641</v>
      </c>
      <c r="J5" s="15">
        <v>5</v>
      </c>
    </row>
    <row r="6" spans="1:19" x14ac:dyDescent="0.3">
      <c r="A6" s="3">
        <v>2023</v>
      </c>
      <c r="B6" s="4">
        <v>92.34210526315789</v>
      </c>
      <c r="D6" s="3" t="s">
        <v>9</v>
      </c>
      <c r="E6">
        <v>665</v>
      </c>
      <c r="H6" s="2" t="s">
        <v>8</v>
      </c>
      <c r="I6" t="s">
        <v>10</v>
      </c>
      <c r="K6" s="2" t="s">
        <v>8</v>
      </c>
      <c r="L6" t="s">
        <v>10</v>
      </c>
    </row>
    <row r="7" spans="1:19" x14ac:dyDescent="0.3">
      <c r="A7" s="3" t="s">
        <v>9</v>
      </c>
      <c r="B7" s="4">
        <v>98.314285714285717</v>
      </c>
      <c r="H7" s="3" t="s">
        <v>19</v>
      </c>
      <c r="I7" s="24">
        <v>156.73770491803279</v>
      </c>
      <c r="J7" s="4"/>
      <c r="K7" s="3" t="s">
        <v>13</v>
      </c>
      <c r="L7" s="4">
        <v>123.17647058823529</v>
      </c>
    </row>
    <row r="8" spans="1:19" x14ac:dyDescent="0.3">
      <c r="H8" s="3" t="s">
        <v>20</v>
      </c>
      <c r="I8" s="23">
        <v>146.48214285714286</v>
      </c>
      <c r="J8" s="4"/>
      <c r="K8" s="3" t="s">
        <v>14</v>
      </c>
      <c r="L8" s="4">
        <v>85.595628415300553</v>
      </c>
    </row>
    <row r="9" spans="1:19" x14ac:dyDescent="0.3">
      <c r="H9" s="3" t="s">
        <v>21</v>
      </c>
      <c r="I9" s="22">
        <v>84.643678160919535</v>
      </c>
      <c r="J9" s="4"/>
      <c r="K9" s="3" t="s">
        <v>15</v>
      </c>
      <c r="L9" s="4">
        <v>97.420765027322403</v>
      </c>
    </row>
    <row r="10" spans="1:19" ht="93.6" x14ac:dyDescent="1.75">
      <c r="H10" s="3" t="s">
        <v>22</v>
      </c>
      <c r="I10" s="22">
        <v>80.453125</v>
      </c>
      <c r="J10" s="4"/>
      <c r="K10" s="3" t="s">
        <v>16</v>
      </c>
      <c r="L10" s="4">
        <v>71.147368421052633</v>
      </c>
      <c r="S10" s="30" t="s">
        <v>59</v>
      </c>
    </row>
    <row r="11" spans="1:19" x14ac:dyDescent="0.3">
      <c r="H11" s="3" t="s">
        <v>11</v>
      </c>
      <c r="I11" s="22">
        <v>84.403225806451616</v>
      </c>
      <c r="J11" s="4"/>
      <c r="K11" s="3" t="s">
        <v>9</v>
      </c>
      <c r="L11" s="4">
        <v>98.314285714285717</v>
      </c>
    </row>
    <row r="12" spans="1:19" ht="93.6" x14ac:dyDescent="1.75">
      <c r="H12" s="3" t="s">
        <v>23</v>
      </c>
      <c r="I12" s="22">
        <v>92.666666666666671</v>
      </c>
      <c r="J12" s="4"/>
      <c r="S12" s="30" t="s">
        <v>57</v>
      </c>
    </row>
    <row r="13" spans="1:19" x14ac:dyDescent="0.3">
      <c r="H13" s="3" t="s">
        <v>24</v>
      </c>
      <c r="I13" s="22">
        <v>91.290322580645167</v>
      </c>
      <c r="J13" s="4"/>
    </row>
    <row r="14" spans="1:19" x14ac:dyDescent="0.3">
      <c r="H14" s="3" t="s">
        <v>25</v>
      </c>
      <c r="I14" s="23">
        <v>104.70967741935483</v>
      </c>
      <c r="J14" s="4"/>
    </row>
    <row r="15" spans="1:19" x14ac:dyDescent="0.3">
      <c r="H15" s="3" t="s">
        <v>26</v>
      </c>
      <c r="I15" s="22">
        <v>96.20338983050847</v>
      </c>
      <c r="J15" s="4"/>
    </row>
    <row r="16" spans="1:19" x14ac:dyDescent="0.3">
      <c r="H16" s="3" t="s">
        <v>27</v>
      </c>
      <c r="I16" s="23">
        <v>102.38888888888889</v>
      </c>
      <c r="J16" s="4"/>
    </row>
    <row r="17" spans="8:10" x14ac:dyDescent="0.3">
      <c r="H17" s="3" t="s">
        <v>28</v>
      </c>
      <c r="I17" s="22">
        <v>58.466666666666669</v>
      </c>
      <c r="J17" s="4"/>
    </row>
    <row r="18" spans="8:10" x14ac:dyDescent="0.3">
      <c r="H18" s="3" t="s">
        <v>29</v>
      </c>
      <c r="I18" s="21">
        <v>45.482758620689658</v>
      </c>
      <c r="J18" s="4"/>
    </row>
    <row r="19" spans="8:10" x14ac:dyDescent="0.3">
      <c r="H19" s="3" t="s">
        <v>9</v>
      </c>
      <c r="I19" s="4">
        <v>98.314285714285717</v>
      </c>
      <c r="J19" s="4"/>
    </row>
    <row r="23" spans="8:10" x14ac:dyDescent="0.3">
      <c r="H23" s="15">
        <v>4</v>
      </c>
    </row>
    <row r="24" spans="8:10" x14ac:dyDescent="0.3">
      <c r="H24" s="7" t="s">
        <v>35</v>
      </c>
      <c r="I24" s="8" t="s">
        <v>36</v>
      </c>
    </row>
    <row r="25" spans="8:10" x14ac:dyDescent="0.3">
      <c r="H25" s="16" t="s">
        <v>34</v>
      </c>
      <c r="I25" s="17">
        <f>MAX(AirQuality[pm25  (ug/m3)])</f>
        <v>475</v>
      </c>
    </row>
    <row r="26" spans="8:10" x14ac:dyDescent="0.3">
      <c r="H26" s="16" t="s">
        <v>37</v>
      </c>
      <c r="I26" s="19" t="str">
        <f>TEXT(INDEX('Air Quality Data Lagos'!A:A, MATCH(Analysis!I25,AirQuality[pm25  (ug/m3)],0)), "dd/mm/yyyy")</f>
        <v>03/01/2023</v>
      </c>
    </row>
    <row r="27" spans="8:10" x14ac:dyDescent="0.3">
      <c r="H27" s="9"/>
      <c r="I27" s="11"/>
    </row>
    <row r="28" spans="8:10" x14ac:dyDescent="0.3">
      <c r="H28" s="17" t="s">
        <v>38</v>
      </c>
      <c r="I28" s="17">
        <f>MIN(AirQuality[pm25  (ug/m3)])</f>
        <v>1</v>
      </c>
    </row>
    <row r="29" spans="8:10" x14ac:dyDescent="0.3">
      <c r="H29" s="18" t="s">
        <v>37</v>
      </c>
      <c r="I29" s="19" t="str" cm="1">
        <f t="array" ref="I29:I41">TEXT(_xlfn._xlws.FILTER(AirQuality[date],AirQuality[pm25  (ug/m3)]=MIN(AirQuality[pm25  (ug/m3)])), "dd/mm/yyyy")</f>
        <v>24/12/2021</v>
      </c>
    </row>
    <row r="30" spans="8:10" x14ac:dyDescent="0.3">
      <c r="H30" s="12"/>
      <c r="I30" s="20" t="str">
        <v>25/12/2021</v>
      </c>
    </row>
    <row r="31" spans="8:10" x14ac:dyDescent="0.3">
      <c r="H31" s="13"/>
      <c r="I31" s="20" t="str">
        <v>26/12/2021</v>
      </c>
    </row>
    <row r="32" spans="8:10" x14ac:dyDescent="0.3">
      <c r="H32" s="13"/>
      <c r="I32" s="20" t="str">
        <v>27/12/2021</v>
      </c>
    </row>
    <row r="33" spans="8:14" x14ac:dyDescent="0.3">
      <c r="H33" s="13"/>
      <c r="I33" s="20" t="str">
        <v>28/12/2021</v>
      </c>
    </row>
    <row r="34" spans="8:14" x14ac:dyDescent="0.3">
      <c r="H34" s="13"/>
      <c r="I34" s="20" t="str">
        <v>29/12/2021</v>
      </c>
      <c r="L34" s="25" t="s">
        <v>46</v>
      </c>
      <c r="M34" s="25" t="s">
        <v>47</v>
      </c>
      <c r="N34" s="25" t="s">
        <v>48</v>
      </c>
    </row>
    <row r="35" spans="8:14" x14ac:dyDescent="0.3">
      <c r="H35" s="13"/>
      <c r="I35" s="20" t="str">
        <v>30/12/2021</v>
      </c>
      <c r="L35" s="26" t="s">
        <v>42</v>
      </c>
      <c r="M35" s="10" t="s">
        <v>49</v>
      </c>
      <c r="N35" s="10" t="s">
        <v>50</v>
      </c>
    </row>
    <row r="36" spans="8:14" x14ac:dyDescent="0.3">
      <c r="H36" s="13"/>
      <c r="I36" s="20" t="str">
        <v>31/12/2021</v>
      </c>
      <c r="L36" s="27" t="s">
        <v>43</v>
      </c>
      <c r="M36" s="10" t="s">
        <v>51</v>
      </c>
      <c r="N36" s="10" t="s">
        <v>52</v>
      </c>
    </row>
    <row r="37" spans="8:14" x14ac:dyDescent="0.3">
      <c r="H37" s="13"/>
      <c r="I37" s="20" t="str">
        <v>01/01/2022</v>
      </c>
      <c r="L37" s="28" t="s">
        <v>44</v>
      </c>
      <c r="M37" s="10" t="s">
        <v>53</v>
      </c>
      <c r="N37" s="10" t="s">
        <v>54</v>
      </c>
    </row>
    <row r="38" spans="8:14" x14ac:dyDescent="0.3">
      <c r="H38" s="13"/>
      <c r="I38" s="20" t="str">
        <v>02/01/2022</v>
      </c>
      <c r="L38" s="29" t="s">
        <v>45</v>
      </c>
      <c r="M38" s="10" t="s">
        <v>55</v>
      </c>
      <c r="N38" s="10" t="s">
        <v>56</v>
      </c>
    </row>
    <row r="39" spans="8:14" x14ac:dyDescent="0.3">
      <c r="H39" s="13"/>
      <c r="I39" s="20" t="str">
        <v>03/01/2022</v>
      </c>
    </row>
    <row r="40" spans="8:14" x14ac:dyDescent="0.3">
      <c r="H40" s="13"/>
      <c r="I40" s="20" t="str">
        <v>12/01/2023</v>
      </c>
    </row>
    <row r="41" spans="8:14" x14ac:dyDescent="0.3">
      <c r="H41" s="14"/>
      <c r="I41" s="20" t="str">
        <v>13/01/2023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2C38-7B1A-457C-A89F-AB6C4C4D8790}">
  <dimension ref="A1:M666"/>
  <sheetViews>
    <sheetView workbookViewId="0">
      <selection activeCell="E1" sqref="E1"/>
    </sheetView>
  </sheetViews>
  <sheetFormatPr defaultRowHeight="14.4" x14ac:dyDescent="0.3"/>
  <cols>
    <col min="1" max="1" width="19.44140625" customWidth="1"/>
    <col min="2" max="2" width="14.77734375" bestFit="1" customWidth="1"/>
    <col min="4" max="4" width="9.77734375" bestFit="1" customWidth="1"/>
    <col min="5" max="5" width="11" customWidth="1"/>
    <col min="6" max="6" width="12.44140625" customWidth="1"/>
    <col min="7" max="7" width="9.77734375" customWidth="1"/>
    <col min="8" max="8" width="13.5546875" bestFit="1" customWidth="1"/>
    <col min="9" max="9" width="17.6640625" bestFit="1" customWidth="1"/>
    <col min="10" max="10" width="14.6640625" bestFit="1" customWidth="1"/>
    <col min="11" max="11" width="20.44140625" bestFit="1" customWidth="1"/>
    <col min="12" max="12" width="10.6640625" bestFit="1" customWidth="1"/>
    <col min="13" max="13" width="16.77734375" bestFit="1" customWidth="1"/>
  </cols>
  <sheetData>
    <row r="1" spans="1:13" ht="16.2" x14ac:dyDescent="0.3">
      <c r="A1" t="s">
        <v>0</v>
      </c>
      <c r="B1" t="s">
        <v>60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12</v>
      </c>
      <c r="J1" t="s">
        <v>7</v>
      </c>
      <c r="K1" t="s">
        <v>30</v>
      </c>
      <c r="L1" t="s">
        <v>31</v>
      </c>
      <c r="M1" t="s">
        <v>33</v>
      </c>
    </row>
    <row r="2" spans="1:13" x14ac:dyDescent="0.3">
      <c r="A2" s="1">
        <v>44200</v>
      </c>
      <c r="B2">
        <v>98</v>
      </c>
      <c r="C2">
        <f t="shared" ref="C2:C65" si="0">YEAR(A2)</f>
        <v>2021</v>
      </c>
      <c r="D2" t="str">
        <f t="shared" ref="D2:D65" si="1">TEXT(A2,"mmmm")</f>
        <v>January</v>
      </c>
      <c r="E2">
        <f t="shared" ref="E2:E65" si="2">MONTH(A2)</f>
        <v>1</v>
      </c>
      <c r="F2" t="str">
        <f t="shared" ref="F2:F65" si="3">TEXT(A2,"mmm yyyy")</f>
        <v>Jan 2021</v>
      </c>
      <c r="G2" t="str">
        <f t="shared" ref="G2:G65" si="4">"Q"&amp;ROUNDUP(MONTH(A2)/3,0)</f>
        <v>Q1</v>
      </c>
      <c r="H2">
        <f>IF(AirQuality[[#This Row],[pm25  (ug/m3)]]&gt;15,1,0)</f>
        <v>1</v>
      </c>
      <c r="I2" t="str">
        <f t="shared" ref="I2:I65" si="5">IF(B2&gt;15,"unsafe","safe")</f>
        <v>unsafe</v>
      </c>
      <c r="J2">
        <f>IF(AirQuality[[#This Row],[Air Quality Status]]="unsafe",1,0)</f>
        <v>1</v>
      </c>
      <c r="K2">
        <f>COUNTA(AirQuality[pm25  (ug/m3)])</f>
        <v>665</v>
      </c>
      <c r="L2">
        <f>COUNTIF(AirQuality[Air Quality Status],"unsafe")</f>
        <v>641</v>
      </c>
      <c r="M2" s="5">
        <f>AirQuality[[#This Row],[unsafe days]]/AirQuality[[#This Row],[Total number of days]]</f>
        <v>0.96390977443609027</v>
      </c>
    </row>
    <row r="3" spans="1:13" x14ac:dyDescent="0.3">
      <c r="A3" s="1">
        <v>44201</v>
      </c>
      <c r="B3">
        <v>98</v>
      </c>
      <c r="C3">
        <f t="shared" si="0"/>
        <v>2021</v>
      </c>
      <c r="D3" t="str">
        <f t="shared" si="1"/>
        <v>January</v>
      </c>
      <c r="E3">
        <f t="shared" si="2"/>
        <v>1</v>
      </c>
      <c r="F3" t="str">
        <f t="shared" si="3"/>
        <v>Jan 2021</v>
      </c>
      <c r="G3" t="str">
        <f t="shared" si="4"/>
        <v>Q1</v>
      </c>
      <c r="H3">
        <f>IF(AirQuality[[#This Row],[pm25  (ug/m3)]]&gt;15,1,0)</f>
        <v>1</v>
      </c>
      <c r="I3" t="str">
        <f t="shared" si="5"/>
        <v>unsafe</v>
      </c>
      <c r="J3">
        <f>IF(AirQuality[[#This Row],[Air Quality Status]]="unsafe",J2+1,0)</f>
        <v>2</v>
      </c>
    </row>
    <row r="4" spans="1:13" x14ac:dyDescent="0.3">
      <c r="A4" s="1">
        <v>44202</v>
      </c>
      <c r="B4">
        <v>80</v>
      </c>
      <c r="C4">
        <f t="shared" si="0"/>
        <v>2021</v>
      </c>
      <c r="D4" t="str">
        <f t="shared" si="1"/>
        <v>January</v>
      </c>
      <c r="E4">
        <f t="shared" si="2"/>
        <v>1</v>
      </c>
      <c r="F4" t="str">
        <f t="shared" si="3"/>
        <v>Jan 2021</v>
      </c>
      <c r="G4" t="str">
        <f t="shared" si="4"/>
        <v>Q1</v>
      </c>
      <c r="H4">
        <f>IF(AirQuality[[#This Row],[pm25  (ug/m3)]]&gt;15,1,0)</f>
        <v>1</v>
      </c>
      <c r="I4" t="str">
        <f t="shared" si="5"/>
        <v>unsafe</v>
      </c>
      <c r="J4">
        <f>IF(AirQuality[[#This Row],[Air Quality Status]]="unsafe",J3+1,0)</f>
        <v>3</v>
      </c>
    </row>
    <row r="5" spans="1:13" x14ac:dyDescent="0.3">
      <c r="A5" s="1">
        <v>44203</v>
      </c>
      <c r="B5">
        <v>92</v>
      </c>
      <c r="C5">
        <f t="shared" si="0"/>
        <v>2021</v>
      </c>
      <c r="D5" t="str">
        <f t="shared" si="1"/>
        <v>January</v>
      </c>
      <c r="E5">
        <f t="shared" si="2"/>
        <v>1</v>
      </c>
      <c r="F5" t="str">
        <f t="shared" si="3"/>
        <v>Jan 2021</v>
      </c>
      <c r="G5" t="str">
        <f t="shared" si="4"/>
        <v>Q1</v>
      </c>
      <c r="H5">
        <f>IF(AirQuality[[#This Row],[pm25  (ug/m3)]]&gt;15,1,0)</f>
        <v>1</v>
      </c>
      <c r="I5" t="str">
        <f t="shared" si="5"/>
        <v>unsafe</v>
      </c>
      <c r="J5">
        <f>IF(AirQuality[[#This Row],[Air Quality Status]]="unsafe",J4+1,0)</f>
        <v>4</v>
      </c>
    </row>
    <row r="6" spans="1:13" x14ac:dyDescent="0.3">
      <c r="A6" s="1">
        <v>44204</v>
      </c>
      <c r="B6">
        <v>65</v>
      </c>
      <c r="C6">
        <f t="shared" si="0"/>
        <v>2021</v>
      </c>
      <c r="D6" t="str">
        <f t="shared" si="1"/>
        <v>January</v>
      </c>
      <c r="E6">
        <f t="shared" si="2"/>
        <v>1</v>
      </c>
      <c r="F6" t="str">
        <f t="shared" si="3"/>
        <v>Jan 2021</v>
      </c>
      <c r="G6" t="str">
        <f t="shared" si="4"/>
        <v>Q1</v>
      </c>
      <c r="H6">
        <f>IF(AirQuality[[#This Row],[pm25  (ug/m3)]]&gt;15,1,0)</f>
        <v>1</v>
      </c>
      <c r="I6" t="str">
        <f t="shared" si="5"/>
        <v>unsafe</v>
      </c>
      <c r="J6">
        <f>IF(AirQuality[[#This Row],[Air Quality Status]]="unsafe",J5+1,0)</f>
        <v>5</v>
      </c>
    </row>
    <row r="7" spans="1:13" x14ac:dyDescent="0.3">
      <c r="A7" s="1">
        <v>44205</v>
      </c>
      <c r="B7">
        <v>70</v>
      </c>
      <c r="C7">
        <f t="shared" si="0"/>
        <v>2021</v>
      </c>
      <c r="D7" t="str">
        <f t="shared" si="1"/>
        <v>January</v>
      </c>
      <c r="E7">
        <f t="shared" si="2"/>
        <v>1</v>
      </c>
      <c r="F7" t="str">
        <f t="shared" si="3"/>
        <v>Jan 2021</v>
      </c>
      <c r="G7" t="str">
        <f t="shared" si="4"/>
        <v>Q1</v>
      </c>
      <c r="H7">
        <f>IF(AirQuality[[#This Row],[pm25  (ug/m3)]]&gt;15,1,0)</f>
        <v>1</v>
      </c>
      <c r="I7" t="str">
        <f t="shared" si="5"/>
        <v>unsafe</v>
      </c>
      <c r="J7">
        <f>IF(AirQuality[[#This Row],[Air Quality Status]]="unsafe",J6+1,0)</f>
        <v>6</v>
      </c>
    </row>
    <row r="8" spans="1:13" x14ac:dyDescent="0.3">
      <c r="A8" s="1">
        <v>44206</v>
      </c>
      <c r="B8">
        <v>64</v>
      </c>
      <c r="C8">
        <f t="shared" si="0"/>
        <v>2021</v>
      </c>
      <c r="D8" t="str">
        <f t="shared" si="1"/>
        <v>January</v>
      </c>
      <c r="E8">
        <f t="shared" si="2"/>
        <v>1</v>
      </c>
      <c r="F8" t="str">
        <f t="shared" si="3"/>
        <v>Jan 2021</v>
      </c>
      <c r="G8" t="str">
        <f t="shared" si="4"/>
        <v>Q1</v>
      </c>
      <c r="H8">
        <f>IF(AirQuality[[#This Row],[pm25  (ug/m3)]]&gt;15,1,0)</f>
        <v>1</v>
      </c>
      <c r="I8" t="str">
        <f t="shared" si="5"/>
        <v>unsafe</v>
      </c>
      <c r="J8">
        <f>IF(AirQuality[[#This Row],[Air Quality Status]]="unsafe",J7+1,0)</f>
        <v>7</v>
      </c>
    </row>
    <row r="9" spans="1:13" x14ac:dyDescent="0.3">
      <c r="A9" s="1">
        <v>44207</v>
      </c>
      <c r="B9">
        <v>61</v>
      </c>
      <c r="C9">
        <f t="shared" si="0"/>
        <v>2021</v>
      </c>
      <c r="D9" t="str">
        <f t="shared" si="1"/>
        <v>January</v>
      </c>
      <c r="E9">
        <f t="shared" si="2"/>
        <v>1</v>
      </c>
      <c r="F9" t="str">
        <f t="shared" si="3"/>
        <v>Jan 2021</v>
      </c>
      <c r="G9" t="str">
        <f t="shared" si="4"/>
        <v>Q1</v>
      </c>
      <c r="H9">
        <f>IF(AirQuality[[#This Row],[pm25  (ug/m3)]]&gt;15,1,0)</f>
        <v>1</v>
      </c>
      <c r="I9" t="str">
        <f t="shared" si="5"/>
        <v>unsafe</v>
      </c>
      <c r="J9">
        <f>IF(AirQuality[[#This Row],[Air Quality Status]]="unsafe",J8+1,0)</f>
        <v>8</v>
      </c>
    </row>
    <row r="10" spans="1:13" x14ac:dyDescent="0.3">
      <c r="A10" s="1">
        <v>44208</v>
      </c>
      <c r="B10">
        <v>68</v>
      </c>
      <c r="C10">
        <f t="shared" si="0"/>
        <v>2021</v>
      </c>
      <c r="D10" t="str">
        <f t="shared" si="1"/>
        <v>January</v>
      </c>
      <c r="E10">
        <f t="shared" si="2"/>
        <v>1</v>
      </c>
      <c r="F10" t="str">
        <f t="shared" si="3"/>
        <v>Jan 2021</v>
      </c>
      <c r="G10" t="str">
        <f t="shared" si="4"/>
        <v>Q1</v>
      </c>
      <c r="H10">
        <f>IF(AirQuality[[#This Row],[pm25  (ug/m3)]]&gt;15,1,0)</f>
        <v>1</v>
      </c>
      <c r="I10" t="str">
        <f t="shared" si="5"/>
        <v>unsafe</v>
      </c>
      <c r="J10">
        <f>IF(AirQuality[[#This Row],[Air Quality Status]]="unsafe",J9+1,0)</f>
        <v>9</v>
      </c>
    </row>
    <row r="11" spans="1:13" x14ac:dyDescent="0.3">
      <c r="A11" s="1">
        <v>44209</v>
      </c>
      <c r="B11">
        <v>73</v>
      </c>
      <c r="C11">
        <f t="shared" si="0"/>
        <v>2021</v>
      </c>
      <c r="D11" t="str">
        <f t="shared" si="1"/>
        <v>January</v>
      </c>
      <c r="E11">
        <f t="shared" si="2"/>
        <v>1</v>
      </c>
      <c r="F11" t="str">
        <f t="shared" si="3"/>
        <v>Jan 2021</v>
      </c>
      <c r="G11" t="str">
        <f t="shared" si="4"/>
        <v>Q1</v>
      </c>
      <c r="H11">
        <f>IF(AirQuality[[#This Row],[pm25  (ug/m3)]]&gt;15,1,0)</f>
        <v>1</v>
      </c>
      <c r="I11" t="str">
        <f t="shared" si="5"/>
        <v>unsafe</v>
      </c>
      <c r="J11">
        <f>IF(AirQuality[[#This Row],[Air Quality Status]]="unsafe",J10+1,0)</f>
        <v>10</v>
      </c>
    </row>
    <row r="12" spans="1:13" x14ac:dyDescent="0.3">
      <c r="A12" s="1">
        <v>44210</v>
      </c>
      <c r="B12">
        <v>68</v>
      </c>
      <c r="C12">
        <f t="shared" si="0"/>
        <v>2021</v>
      </c>
      <c r="D12" t="str">
        <f t="shared" si="1"/>
        <v>January</v>
      </c>
      <c r="E12">
        <f t="shared" si="2"/>
        <v>1</v>
      </c>
      <c r="F12" t="str">
        <f t="shared" si="3"/>
        <v>Jan 2021</v>
      </c>
      <c r="G12" t="str">
        <f t="shared" si="4"/>
        <v>Q1</v>
      </c>
      <c r="H12">
        <f>IF(AirQuality[[#This Row],[pm25  (ug/m3)]]&gt;15,1,0)</f>
        <v>1</v>
      </c>
      <c r="I12" t="str">
        <f t="shared" si="5"/>
        <v>unsafe</v>
      </c>
      <c r="J12">
        <f>IF(AirQuality[[#This Row],[Air Quality Status]]="unsafe",J11+1,0)</f>
        <v>11</v>
      </c>
    </row>
    <row r="13" spans="1:13" x14ac:dyDescent="0.3">
      <c r="A13" s="1">
        <v>44211</v>
      </c>
      <c r="B13">
        <v>76</v>
      </c>
      <c r="C13">
        <f t="shared" si="0"/>
        <v>2021</v>
      </c>
      <c r="D13" t="str">
        <f t="shared" si="1"/>
        <v>January</v>
      </c>
      <c r="E13">
        <f t="shared" si="2"/>
        <v>1</v>
      </c>
      <c r="F13" t="str">
        <f t="shared" si="3"/>
        <v>Jan 2021</v>
      </c>
      <c r="G13" t="str">
        <f t="shared" si="4"/>
        <v>Q1</v>
      </c>
      <c r="H13">
        <f>IF(AirQuality[[#This Row],[pm25  (ug/m3)]]&gt;15,1,0)</f>
        <v>1</v>
      </c>
      <c r="I13" t="str">
        <f t="shared" si="5"/>
        <v>unsafe</v>
      </c>
      <c r="J13">
        <f>IF(AirQuality[[#This Row],[Air Quality Status]]="unsafe",J12+1,0)</f>
        <v>12</v>
      </c>
    </row>
    <row r="14" spans="1:13" x14ac:dyDescent="0.3">
      <c r="A14" s="1">
        <v>44212</v>
      </c>
      <c r="B14">
        <v>78</v>
      </c>
      <c r="C14">
        <f t="shared" si="0"/>
        <v>2021</v>
      </c>
      <c r="D14" t="str">
        <f t="shared" si="1"/>
        <v>January</v>
      </c>
      <c r="E14">
        <f t="shared" si="2"/>
        <v>1</v>
      </c>
      <c r="F14" t="str">
        <f t="shared" si="3"/>
        <v>Jan 2021</v>
      </c>
      <c r="G14" t="str">
        <f t="shared" si="4"/>
        <v>Q1</v>
      </c>
      <c r="H14">
        <f>IF(AirQuality[[#This Row],[pm25  (ug/m3)]]&gt;15,1,0)</f>
        <v>1</v>
      </c>
      <c r="I14" t="str">
        <f t="shared" si="5"/>
        <v>unsafe</v>
      </c>
      <c r="J14">
        <f>IF(AirQuality[[#This Row],[Air Quality Status]]="unsafe",J13+1,0)</f>
        <v>13</v>
      </c>
    </row>
    <row r="15" spans="1:13" x14ac:dyDescent="0.3">
      <c r="A15" s="1">
        <v>44213</v>
      </c>
      <c r="B15">
        <v>86</v>
      </c>
      <c r="C15">
        <f t="shared" si="0"/>
        <v>2021</v>
      </c>
      <c r="D15" t="str">
        <f t="shared" si="1"/>
        <v>January</v>
      </c>
      <c r="E15">
        <f t="shared" si="2"/>
        <v>1</v>
      </c>
      <c r="F15" t="str">
        <f t="shared" si="3"/>
        <v>Jan 2021</v>
      </c>
      <c r="G15" t="str">
        <f t="shared" si="4"/>
        <v>Q1</v>
      </c>
      <c r="H15">
        <f>IF(AirQuality[[#This Row],[pm25  (ug/m3)]]&gt;15,1,0)</f>
        <v>1</v>
      </c>
      <c r="I15" t="str">
        <f t="shared" si="5"/>
        <v>unsafe</v>
      </c>
      <c r="J15">
        <f>IF(AirQuality[[#This Row],[Air Quality Status]]="unsafe",J14+1,0)</f>
        <v>14</v>
      </c>
    </row>
    <row r="16" spans="1:13" x14ac:dyDescent="0.3">
      <c r="A16" s="1">
        <v>44214</v>
      </c>
      <c r="B16">
        <v>87</v>
      </c>
      <c r="C16">
        <f t="shared" si="0"/>
        <v>2021</v>
      </c>
      <c r="D16" t="str">
        <f t="shared" si="1"/>
        <v>January</v>
      </c>
      <c r="E16">
        <f t="shared" si="2"/>
        <v>1</v>
      </c>
      <c r="F16" t="str">
        <f t="shared" si="3"/>
        <v>Jan 2021</v>
      </c>
      <c r="G16" t="str">
        <f t="shared" si="4"/>
        <v>Q1</v>
      </c>
      <c r="H16">
        <f>IF(AirQuality[[#This Row],[pm25  (ug/m3)]]&gt;15,1,0)</f>
        <v>1</v>
      </c>
      <c r="I16" t="str">
        <f t="shared" si="5"/>
        <v>unsafe</v>
      </c>
      <c r="J16">
        <f>IF(AirQuality[[#This Row],[Air Quality Status]]="unsafe",J15+1,0)</f>
        <v>15</v>
      </c>
    </row>
    <row r="17" spans="1:10" x14ac:dyDescent="0.3">
      <c r="A17" s="1">
        <v>44215</v>
      </c>
      <c r="B17">
        <v>93</v>
      </c>
      <c r="C17">
        <f t="shared" si="0"/>
        <v>2021</v>
      </c>
      <c r="D17" t="str">
        <f t="shared" si="1"/>
        <v>January</v>
      </c>
      <c r="E17">
        <f t="shared" si="2"/>
        <v>1</v>
      </c>
      <c r="F17" t="str">
        <f t="shared" si="3"/>
        <v>Jan 2021</v>
      </c>
      <c r="G17" t="str">
        <f t="shared" si="4"/>
        <v>Q1</v>
      </c>
      <c r="H17">
        <f>IF(AirQuality[[#This Row],[pm25  (ug/m3)]]&gt;15,1,0)</f>
        <v>1</v>
      </c>
      <c r="I17" t="str">
        <f t="shared" si="5"/>
        <v>unsafe</v>
      </c>
      <c r="J17">
        <f>IF(AirQuality[[#This Row],[Air Quality Status]]="unsafe",J16+1,0)</f>
        <v>16</v>
      </c>
    </row>
    <row r="18" spans="1:10" x14ac:dyDescent="0.3">
      <c r="A18" s="1">
        <v>44216</v>
      </c>
      <c r="B18">
        <v>111</v>
      </c>
      <c r="C18">
        <f t="shared" si="0"/>
        <v>2021</v>
      </c>
      <c r="D18" t="str">
        <f t="shared" si="1"/>
        <v>January</v>
      </c>
      <c r="E18">
        <f t="shared" si="2"/>
        <v>1</v>
      </c>
      <c r="F18" t="str">
        <f t="shared" si="3"/>
        <v>Jan 2021</v>
      </c>
      <c r="G18" t="str">
        <f t="shared" si="4"/>
        <v>Q1</v>
      </c>
      <c r="H18">
        <f>IF(AirQuality[[#This Row],[pm25  (ug/m3)]]&gt;15,1,0)</f>
        <v>1</v>
      </c>
      <c r="I18" t="str">
        <f t="shared" si="5"/>
        <v>unsafe</v>
      </c>
      <c r="J18">
        <f>IF(AirQuality[[#This Row],[Air Quality Status]]="unsafe",J17+1,0)</f>
        <v>17</v>
      </c>
    </row>
    <row r="19" spans="1:10" x14ac:dyDescent="0.3">
      <c r="A19" s="1">
        <v>44217</v>
      </c>
      <c r="B19">
        <v>160</v>
      </c>
      <c r="C19">
        <f t="shared" si="0"/>
        <v>2021</v>
      </c>
      <c r="D19" t="str">
        <f t="shared" si="1"/>
        <v>January</v>
      </c>
      <c r="E19">
        <f t="shared" si="2"/>
        <v>1</v>
      </c>
      <c r="F19" t="str">
        <f t="shared" si="3"/>
        <v>Jan 2021</v>
      </c>
      <c r="G19" t="str">
        <f t="shared" si="4"/>
        <v>Q1</v>
      </c>
      <c r="H19">
        <f>IF(AirQuality[[#This Row],[pm25  (ug/m3)]]&gt;15,1,0)</f>
        <v>1</v>
      </c>
      <c r="I19" t="str">
        <f t="shared" si="5"/>
        <v>unsafe</v>
      </c>
      <c r="J19">
        <f>IF(AirQuality[[#This Row],[Air Quality Status]]="unsafe",J18+1,0)</f>
        <v>18</v>
      </c>
    </row>
    <row r="20" spans="1:10" x14ac:dyDescent="0.3">
      <c r="A20" s="1">
        <v>44218</v>
      </c>
      <c r="B20">
        <v>224</v>
      </c>
      <c r="C20">
        <f t="shared" si="0"/>
        <v>2021</v>
      </c>
      <c r="D20" t="str">
        <f t="shared" si="1"/>
        <v>January</v>
      </c>
      <c r="E20">
        <f t="shared" si="2"/>
        <v>1</v>
      </c>
      <c r="F20" t="str">
        <f t="shared" si="3"/>
        <v>Jan 2021</v>
      </c>
      <c r="G20" t="str">
        <f t="shared" si="4"/>
        <v>Q1</v>
      </c>
      <c r="H20">
        <f>IF(AirQuality[[#This Row],[pm25  (ug/m3)]]&gt;15,1,0)</f>
        <v>1</v>
      </c>
      <c r="I20" t="str">
        <f t="shared" si="5"/>
        <v>unsafe</v>
      </c>
      <c r="J20">
        <f>IF(AirQuality[[#This Row],[Air Quality Status]]="unsafe",J19+1,0)</f>
        <v>19</v>
      </c>
    </row>
    <row r="21" spans="1:10" x14ac:dyDescent="0.3">
      <c r="A21" s="1">
        <v>44219</v>
      </c>
      <c r="B21">
        <v>212</v>
      </c>
      <c r="C21">
        <f t="shared" si="0"/>
        <v>2021</v>
      </c>
      <c r="D21" t="str">
        <f t="shared" si="1"/>
        <v>January</v>
      </c>
      <c r="E21">
        <f t="shared" si="2"/>
        <v>1</v>
      </c>
      <c r="F21" t="str">
        <f t="shared" si="3"/>
        <v>Jan 2021</v>
      </c>
      <c r="G21" t="str">
        <f t="shared" si="4"/>
        <v>Q1</v>
      </c>
      <c r="H21">
        <f>IF(AirQuality[[#This Row],[pm25  (ug/m3)]]&gt;15,1,0)</f>
        <v>1</v>
      </c>
      <c r="I21" t="str">
        <f t="shared" si="5"/>
        <v>unsafe</v>
      </c>
      <c r="J21">
        <f>IF(AirQuality[[#This Row],[Air Quality Status]]="unsafe",J20+1,0)</f>
        <v>20</v>
      </c>
    </row>
    <row r="22" spans="1:10" x14ac:dyDescent="0.3">
      <c r="A22" s="1">
        <v>44220</v>
      </c>
      <c r="B22">
        <v>264</v>
      </c>
      <c r="C22">
        <f t="shared" si="0"/>
        <v>2021</v>
      </c>
      <c r="D22" t="str">
        <f t="shared" si="1"/>
        <v>January</v>
      </c>
      <c r="E22">
        <f t="shared" si="2"/>
        <v>1</v>
      </c>
      <c r="F22" t="str">
        <f t="shared" si="3"/>
        <v>Jan 2021</v>
      </c>
      <c r="G22" t="str">
        <f t="shared" si="4"/>
        <v>Q1</v>
      </c>
      <c r="H22">
        <f>IF(AirQuality[[#This Row],[pm25  (ug/m3)]]&gt;15,1,0)</f>
        <v>1</v>
      </c>
      <c r="I22" t="str">
        <f t="shared" si="5"/>
        <v>unsafe</v>
      </c>
      <c r="J22">
        <f>IF(AirQuality[[#This Row],[Air Quality Status]]="unsafe",J21+1,0)</f>
        <v>21</v>
      </c>
    </row>
    <row r="23" spans="1:10" x14ac:dyDescent="0.3">
      <c r="A23" s="1">
        <v>44221</v>
      </c>
      <c r="B23">
        <v>197</v>
      </c>
      <c r="C23">
        <f t="shared" si="0"/>
        <v>2021</v>
      </c>
      <c r="D23" t="str">
        <f t="shared" si="1"/>
        <v>January</v>
      </c>
      <c r="E23">
        <f t="shared" si="2"/>
        <v>1</v>
      </c>
      <c r="F23" t="str">
        <f t="shared" si="3"/>
        <v>Jan 2021</v>
      </c>
      <c r="G23" t="str">
        <f t="shared" si="4"/>
        <v>Q1</v>
      </c>
      <c r="H23">
        <f>IF(AirQuality[[#This Row],[pm25  (ug/m3)]]&gt;15,1,0)</f>
        <v>1</v>
      </c>
      <c r="I23" t="str">
        <f t="shared" si="5"/>
        <v>unsafe</v>
      </c>
      <c r="J23">
        <f>IF(AirQuality[[#This Row],[Air Quality Status]]="unsafe",J22+1,0)</f>
        <v>22</v>
      </c>
    </row>
    <row r="24" spans="1:10" x14ac:dyDescent="0.3">
      <c r="A24" s="1">
        <v>44222</v>
      </c>
      <c r="B24">
        <v>182</v>
      </c>
      <c r="C24">
        <f t="shared" si="0"/>
        <v>2021</v>
      </c>
      <c r="D24" t="str">
        <f t="shared" si="1"/>
        <v>January</v>
      </c>
      <c r="E24">
        <f t="shared" si="2"/>
        <v>1</v>
      </c>
      <c r="F24" t="str">
        <f t="shared" si="3"/>
        <v>Jan 2021</v>
      </c>
      <c r="G24" t="str">
        <f t="shared" si="4"/>
        <v>Q1</v>
      </c>
      <c r="H24">
        <f>IF(AirQuality[[#This Row],[pm25  (ug/m3)]]&gt;15,1,0)</f>
        <v>1</v>
      </c>
      <c r="I24" t="str">
        <f t="shared" si="5"/>
        <v>unsafe</v>
      </c>
      <c r="J24">
        <f>IF(AirQuality[[#This Row],[Air Quality Status]]="unsafe",J23+1,0)</f>
        <v>23</v>
      </c>
    </row>
    <row r="25" spans="1:10" x14ac:dyDescent="0.3">
      <c r="A25" s="1">
        <v>44223</v>
      </c>
      <c r="B25">
        <v>166</v>
      </c>
      <c r="C25">
        <f t="shared" si="0"/>
        <v>2021</v>
      </c>
      <c r="D25" t="str">
        <f t="shared" si="1"/>
        <v>January</v>
      </c>
      <c r="E25">
        <f t="shared" si="2"/>
        <v>1</v>
      </c>
      <c r="F25" t="str">
        <f t="shared" si="3"/>
        <v>Jan 2021</v>
      </c>
      <c r="G25" t="str">
        <f t="shared" si="4"/>
        <v>Q1</v>
      </c>
      <c r="H25">
        <f>IF(AirQuality[[#This Row],[pm25  (ug/m3)]]&gt;15,1,0)</f>
        <v>1</v>
      </c>
      <c r="I25" t="str">
        <f t="shared" si="5"/>
        <v>unsafe</v>
      </c>
      <c r="J25">
        <f>IF(AirQuality[[#This Row],[Air Quality Status]]="unsafe",J24+1,0)</f>
        <v>24</v>
      </c>
    </row>
    <row r="26" spans="1:10" x14ac:dyDescent="0.3">
      <c r="A26" s="1">
        <v>44224</v>
      </c>
      <c r="B26">
        <v>145</v>
      </c>
      <c r="C26">
        <f t="shared" si="0"/>
        <v>2021</v>
      </c>
      <c r="D26" t="str">
        <f t="shared" si="1"/>
        <v>January</v>
      </c>
      <c r="E26">
        <f t="shared" si="2"/>
        <v>1</v>
      </c>
      <c r="F26" t="str">
        <f t="shared" si="3"/>
        <v>Jan 2021</v>
      </c>
      <c r="G26" t="str">
        <f t="shared" si="4"/>
        <v>Q1</v>
      </c>
      <c r="H26">
        <f>IF(AirQuality[[#This Row],[pm25  (ug/m3)]]&gt;15,1,0)</f>
        <v>1</v>
      </c>
      <c r="I26" t="str">
        <f t="shared" si="5"/>
        <v>unsafe</v>
      </c>
      <c r="J26">
        <f>IF(AirQuality[[#This Row],[Air Quality Status]]="unsafe",J25+1,0)</f>
        <v>25</v>
      </c>
    </row>
    <row r="27" spans="1:10" x14ac:dyDescent="0.3">
      <c r="A27" s="1">
        <v>44225</v>
      </c>
      <c r="B27">
        <v>130</v>
      </c>
      <c r="C27">
        <f t="shared" si="0"/>
        <v>2021</v>
      </c>
      <c r="D27" t="str">
        <f t="shared" si="1"/>
        <v>January</v>
      </c>
      <c r="E27">
        <f t="shared" si="2"/>
        <v>1</v>
      </c>
      <c r="F27" t="str">
        <f t="shared" si="3"/>
        <v>Jan 2021</v>
      </c>
      <c r="G27" t="str">
        <f t="shared" si="4"/>
        <v>Q1</v>
      </c>
      <c r="H27">
        <f>IF(AirQuality[[#This Row],[pm25  (ug/m3)]]&gt;15,1,0)</f>
        <v>1</v>
      </c>
      <c r="I27" t="str">
        <f t="shared" si="5"/>
        <v>unsafe</v>
      </c>
      <c r="J27">
        <f>IF(AirQuality[[#This Row],[Air Quality Status]]="unsafe",J26+1,0)</f>
        <v>26</v>
      </c>
    </row>
    <row r="28" spans="1:10" x14ac:dyDescent="0.3">
      <c r="A28" s="1">
        <v>44226</v>
      </c>
      <c r="B28">
        <v>119</v>
      </c>
      <c r="C28">
        <f t="shared" si="0"/>
        <v>2021</v>
      </c>
      <c r="D28" t="str">
        <f t="shared" si="1"/>
        <v>January</v>
      </c>
      <c r="E28">
        <f t="shared" si="2"/>
        <v>1</v>
      </c>
      <c r="F28" t="str">
        <f t="shared" si="3"/>
        <v>Jan 2021</v>
      </c>
      <c r="G28" t="str">
        <f t="shared" si="4"/>
        <v>Q1</v>
      </c>
      <c r="H28">
        <f>IF(AirQuality[[#This Row],[pm25  (ug/m3)]]&gt;15,1,0)</f>
        <v>1</v>
      </c>
      <c r="I28" t="str">
        <f t="shared" si="5"/>
        <v>unsafe</v>
      </c>
      <c r="J28">
        <f>IF(AirQuality[[#This Row],[Air Quality Status]]="unsafe",J27+1,0)</f>
        <v>27</v>
      </c>
    </row>
    <row r="29" spans="1:10" x14ac:dyDescent="0.3">
      <c r="A29" s="1">
        <v>44227</v>
      </c>
      <c r="B29">
        <v>97</v>
      </c>
      <c r="C29">
        <f t="shared" si="0"/>
        <v>2021</v>
      </c>
      <c r="D29" t="str">
        <f t="shared" si="1"/>
        <v>January</v>
      </c>
      <c r="E29">
        <f t="shared" si="2"/>
        <v>1</v>
      </c>
      <c r="F29" t="str">
        <f t="shared" si="3"/>
        <v>Jan 2021</v>
      </c>
      <c r="G29" t="str">
        <f t="shared" si="4"/>
        <v>Q1</v>
      </c>
      <c r="H29">
        <f>IF(AirQuality[[#This Row],[pm25  (ug/m3)]]&gt;15,1,0)</f>
        <v>1</v>
      </c>
      <c r="I29" t="str">
        <f t="shared" si="5"/>
        <v>unsafe</v>
      </c>
      <c r="J29">
        <f>IF(AirQuality[[#This Row],[Air Quality Status]]="unsafe",J28+1,0)</f>
        <v>28</v>
      </c>
    </row>
    <row r="30" spans="1:10" x14ac:dyDescent="0.3">
      <c r="A30" s="1">
        <v>44228</v>
      </c>
      <c r="B30">
        <v>107</v>
      </c>
      <c r="C30">
        <f t="shared" si="0"/>
        <v>2021</v>
      </c>
      <c r="D30" t="str">
        <f t="shared" si="1"/>
        <v>February</v>
      </c>
      <c r="E30">
        <f t="shared" si="2"/>
        <v>2</v>
      </c>
      <c r="F30" t="str">
        <f t="shared" si="3"/>
        <v>Feb 2021</v>
      </c>
      <c r="G30" t="str">
        <f t="shared" si="4"/>
        <v>Q1</v>
      </c>
      <c r="H30">
        <f>IF(AirQuality[[#This Row],[pm25  (ug/m3)]]&gt;15,1,0)</f>
        <v>1</v>
      </c>
      <c r="I30" t="str">
        <f t="shared" si="5"/>
        <v>unsafe</v>
      </c>
      <c r="J30">
        <f>IF(AirQuality[[#This Row],[Air Quality Status]]="unsafe",J29+1,0)</f>
        <v>29</v>
      </c>
    </row>
    <row r="31" spans="1:10" x14ac:dyDescent="0.3">
      <c r="A31" s="1">
        <v>44229</v>
      </c>
      <c r="B31">
        <v>119</v>
      </c>
      <c r="C31">
        <f t="shared" si="0"/>
        <v>2021</v>
      </c>
      <c r="D31" t="str">
        <f t="shared" si="1"/>
        <v>February</v>
      </c>
      <c r="E31">
        <f t="shared" si="2"/>
        <v>2</v>
      </c>
      <c r="F31" t="str">
        <f t="shared" si="3"/>
        <v>Feb 2021</v>
      </c>
      <c r="G31" t="str">
        <f t="shared" si="4"/>
        <v>Q1</v>
      </c>
      <c r="H31">
        <f>IF(AirQuality[[#This Row],[pm25  (ug/m3)]]&gt;15,1,0)</f>
        <v>1</v>
      </c>
      <c r="I31" t="str">
        <f t="shared" si="5"/>
        <v>unsafe</v>
      </c>
      <c r="J31">
        <f>IF(AirQuality[[#This Row],[Air Quality Status]]="unsafe",J30+1,0)</f>
        <v>30</v>
      </c>
    </row>
    <row r="32" spans="1:10" x14ac:dyDescent="0.3">
      <c r="A32" s="1">
        <v>44230</v>
      </c>
      <c r="B32">
        <v>120</v>
      </c>
      <c r="C32">
        <f t="shared" si="0"/>
        <v>2021</v>
      </c>
      <c r="D32" t="str">
        <f t="shared" si="1"/>
        <v>February</v>
      </c>
      <c r="E32">
        <f t="shared" si="2"/>
        <v>2</v>
      </c>
      <c r="F32" t="str">
        <f t="shared" si="3"/>
        <v>Feb 2021</v>
      </c>
      <c r="G32" t="str">
        <f t="shared" si="4"/>
        <v>Q1</v>
      </c>
      <c r="H32">
        <f>IF(AirQuality[[#This Row],[pm25  (ug/m3)]]&gt;15,1,0)</f>
        <v>1</v>
      </c>
      <c r="I32" t="str">
        <f t="shared" si="5"/>
        <v>unsafe</v>
      </c>
      <c r="J32">
        <f>IF(AirQuality[[#This Row],[Air Quality Status]]="unsafe",J31+1,0)</f>
        <v>31</v>
      </c>
    </row>
    <row r="33" spans="1:10" x14ac:dyDescent="0.3">
      <c r="A33" s="1">
        <v>44231</v>
      </c>
      <c r="B33">
        <v>129</v>
      </c>
      <c r="C33">
        <f t="shared" si="0"/>
        <v>2021</v>
      </c>
      <c r="D33" t="str">
        <f t="shared" si="1"/>
        <v>February</v>
      </c>
      <c r="E33">
        <f t="shared" si="2"/>
        <v>2</v>
      </c>
      <c r="F33" t="str">
        <f t="shared" si="3"/>
        <v>Feb 2021</v>
      </c>
      <c r="G33" t="str">
        <f t="shared" si="4"/>
        <v>Q1</v>
      </c>
      <c r="H33">
        <f>IF(AirQuality[[#This Row],[pm25  (ug/m3)]]&gt;15,1,0)</f>
        <v>1</v>
      </c>
      <c r="I33" t="str">
        <f t="shared" si="5"/>
        <v>unsafe</v>
      </c>
      <c r="J33">
        <f>IF(AirQuality[[#This Row],[Air Quality Status]]="unsafe",J32+1,0)</f>
        <v>32</v>
      </c>
    </row>
    <row r="34" spans="1:10" x14ac:dyDescent="0.3">
      <c r="A34" s="1">
        <v>44232</v>
      </c>
      <c r="B34">
        <v>113</v>
      </c>
      <c r="C34">
        <f t="shared" si="0"/>
        <v>2021</v>
      </c>
      <c r="D34" t="str">
        <f t="shared" si="1"/>
        <v>February</v>
      </c>
      <c r="E34">
        <f t="shared" si="2"/>
        <v>2</v>
      </c>
      <c r="F34" t="str">
        <f t="shared" si="3"/>
        <v>Feb 2021</v>
      </c>
      <c r="G34" t="str">
        <f t="shared" si="4"/>
        <v>Q1</v>
      </c>
      <c r="H34">
        <f>IF(AirQuality[[#This Row],[pm25  (ug/m3)]]&gt;15,1,0)</f>
        <v>1</v>
      </c>
      <c r="I34" t="str">
        <f t="shared" si="5"/>
        <v>unsafe</v>
      </c>
      <c r="J34">
        <f>IF(AirQuality[[#This Row],[Air Quality Status]]="unsafe",J33+1,0)</f>
        <v>33</v>
      </c>
    </row>
    <row r="35" spans="1:10" x14ac:dyDescent="0.3">
      <c r="A35" s="1">
        <v>44233</v>
      </c>
      <c r="B35">
        <v>99</v>
      </c>
      <c r="C35">
        <f t="shared" si="0"/>
        <v>2021</v>
      </c>
      <c r="D35" t="str">
        <f t="shared" si="1"/>
        <v>February</v>
      </c>
      <c r="E35">
        <f t="shared" si="2"/>
        <v>2</v>
      </c>
      <c r="F35" t="str">
        <f t="shared" si="3"/>
        <v>Feb 2021</v>
      </c>
      <c r="G35" t="str">
        <f t="shared" si="4"/>
        <v>Q1</v>
      </c>
      <c r="H35">
        <f>IF(AirQuality[[#This Row],[pm25  (ug/m3)]]&gt;15,1,0)</f>
        <v>1</v>
      </c>
      <c r="I35" t="str">
        <f t="shared" si="5"/>
        <v>unsafe</v>
      </c>
      <c r="J35">
        <f>IF(AirQuality[[#This Row],[Air Quality Status]]="unsafe",J34+1,0)</f>
        <v>34</v>
      </c>
    </row>
    <row r="36" spans="1:10" x14ac:dyDescent="0.3">
      <c r="A36" s="1">
        <v>44234</v>
      </c>
      <c r="B36">
        <v>103</v>
      </c>
      <c r="C36">
        <f t="shared" si="0"/>
        <v>2021</v>
      </c>
      <c r="D36" t="str">
        <f t="shared" si="1"/>
        <v>February</v>
      </c>
      <c r="E36">
        <f t="shared" si="2"/>
        <v>2</v>
      </c>
      <c r="F36" t="str">
        <f t="shared" si="3"/>
        <v>Feb 2021</v>
      </c>
      <c r="G36" t="str">
        <f t="shared" si="4"/>
        <v>Q1</v>
      </c>
      <c r="H36">
        <f>IF(AirQuality[[#This Row],[pm25  (ug/m3)]]&gt;15,1,0)</f>
        <v>1</v>
      </c>
      <c r="I36" t="str">
        <f t="shared" si="5"/>
        <v>unsafe</v>
      </c>
      <c r="J36">
        <f>IF(AirQuality[[#This Row],[Air Quality Status]]="unsafe",J35+1,0)</f>
        <v>35</v>
      </c>
    </row>
    <row r="37" spans="1:10" x14ac:dyDescent="0.3">
      <c r="A37" s="1">
        <v>44235</v>
      </c>
      <c r="B37">
        <v>120</v>
      </c>
      <c r="C37">
        <f t="shared" si="0"/>
        <v>2021</v>
      </c>
      <c r="D37" t="str">
        <f t="shared" si="1"/>
        <v>February</v>
      </c>
      <c r="E37">
        <f t="shared" si="2"/>
        <v>2</v>
      </c>
      <c r="F37" t="str">
        <f t="shared" si="3"/>
        <v>Feb 2021</v>
      </c>
      <c r="G37" t="str">
        <f t="shared" si="4"/>
        <v>Q1</v>
      </c>
      <c r="H37">
        <f>IF(AirQuality[[#This Row],[pm25  (ug/m3)]]&gt;15,1,0)</f>
        <v>1</v>
      </c>
      <c r="I37" t="str">
        <f t="shared" si="5"/>
        <v>unsafe</v>
      </c>
      <c r="J37">
        <f>IF(AirQuality[[#This Row],[Air Quality Status]]="unsafe",J36+1,0)</f>
        <v>36</v>
      </c>
    </row>
    <row r="38" spans="1:10" x14ac:dyDescent="0.3">
      <c r="A38" s="1">
        <v>44236</v>
      </c>
      <c r="B38">
        <v>108</v>
      </c>
      <c r="C38">
        <f t="shared" si="0"/>
        <v>2021</v>
      </c>
      <c r="D38" t="str">
        <f t="shared" si="1"/>
        <v>February</v>
      </c>
      <c r="E38">
        <f t="shared" si="2"/>
        <v>2</v>
      </c>
      <c r="F38" t="str">
        <f t="shared" si="3"/>
        <v>Feb 2021</v>
      </c>
      <c r="G38" t="str">
        <f t="shared" si="4"/>
        <v>Q1</v>
      </c>
      <c r="H38">
        <f>IF(AirQuality[[#This Row],[pm25  (ug/m3)]]&gt;15,1,0)</f>
        <v>1</v>
      </c>
      <c r="I38" t="str">
        <f t="shared" si="5"/>
        <v>unsafe</v>
      </c>
      <c r="J38">
        <f>IF(AirQuality[[#This Row],[Air Quality Status]]="unsafe",J37+1,0)</f>
        <v>37</v>
      </c>
    </row>
    <row r="39" spans="1:10" x14ac:dyDescent="0.3">
      <c r="A39" s="1">
        <v>44237</v>
      </c>
      <c r="B39">
        <v>100</v>
      </c>
      <c r="C39">
        <f t="shared" si="0"/>
        <v>2021</v>
      </c>
      <c r="D39" t="str">
        <f t="shared" si="1"/>
        <v>February</v>
      </c>
      <c r="E39">
        <f t="shared" si="2"/>
        <v>2</v>
      </c>
      <c r="F39" t="str">
        <f t="shared" si="3"/>
        <v>Feb 2021</v>
      </c>
      <c r="G39" t="str">
        <f t="shared" si="4"/>
        <v>Q1</v>
      </c>
      <c r="H39">
        <f>IF(AirQuality[[#This Row],[pm25  (ug/m3)]]&gt;15,1,0)</f>
        <v>1</v>
      </c>
      <c r="I39" t="str">
        <f t="shared" si="5"/>
        <v>unsafe</v>
      </c>
      <c r="J39">
        <f>IF(AirQuality[[#This Row],[Air Quality Status]]="unsafe",J38+1,0)</f>
        <v>38</v>
      </c>
    </row>
    <row r="40" spans="1:10" x14ac:dyDescent="0.3">
      <c r="A40" s="1">
        <v>44238</v>
      </c>
      <c r="B40">
        <v>110</v>
      </c>
      <c r="C40">
        <f t="shared" si="0"/>
        <v>2021</v>
      </c>
      <c r="D40" t="str">
        <f t="shared" si="1"/>
        <v>February</v>
      </c>
      <c r="E40">
        <f t="shared" si="2"/>
        <v>2</v>
      </c>
      <c r="F40" t="str">
        <f t="shared" si="3"/>
        <v>Feb 2021</v>
      </c>
      <c r="G40" t="str">
        <f t="shared" si="4"/>
        <v>Q1</v>
      </c>
      <c r="H40">
        <f>IF(AirQuality[[#This Row],[pm25  (ug/m3)]]&gt;15,1,0)</f>
        <v>1</v>
      </c>
      <c r="I40" t="str">
        <f t="shared" si="5"/>
        <v>unsafe</v>
      </c>
      <c r="J40">
        <f>IF(AirQuality[[#This Row],[Air Quality Status]]="unsafe",J39+1,0)</f>
        <v>39</v>
      </c>
    </row>
    <row r="41" spans="1:10" x14ac:dyDescent="0.3">
      <c r="A41" s="1">
        <v>44239</v>
      </c>
      <c r="B41">
        <v>107</v>
      </c>
      <c r="C41">
        <f t="shared" si="0"/>
        <v>2021</v>
      </c>
      <c r="D41" t="str">
        <f t="shared" si="1"/>
        <v>February</v>
      </c>
      <c r="E41">
        <f t="shared" si="2"/>
        <v>2</v>
      </c>
      <c r="F41" t="str">
        <f t="shared" si="3"/>
        <v>Feb 2021</v>
      </c>
      <c r="G41" t="str">
        <f t="shared" si="4"/>
        <v>Q1</v>
      </c>
      <c r="H41">
        <f>IF(AirQuality[[#This Row],[pm25  (ug/m3)]]&gt;15,1,0)</f>
        <v>1</v>
      </c>
      <c r="I41" t="str">
        <f t="shared" si="5"/>
        <v>unsafe</v>
      </c>
      <c r="J41">
        <f>IF(AirQuality[[#This Row],[Air Quality Status]]="unsafe",J40+1,0)</f>
        <v>40</v>
      </c>
    </row>
    <row r="42" spans="1:10" x14ac:dyDescent="0.3">
      <c r="A42" s="1">
        <v>44240</v>
      </c>
      <c r="B42">
        <v>113</v>
      </c>
      <c r="C42">
        <f t="shared" si="0"/>
        <v>2021</v>
      </c>
      <c r="D42" t="str">
        <f t="shared" si="1"/>
        <v>February</v>
      </c>
      <c r="E42">
        <f t="shared" si="2"/>
        <v>2</v>
      </c>
      <c r="F42" t="str">
        <f t="shared" si="3"/>
        <v>Feb 2021</v>
      </c>
      <c r="G42" t="str">
        <f t="shared" si="4"/>
        <v>Q1</v>
      </c>
      <c r="H42">
        <f>IF(AirQuality[[#This Row],[pm25  (ug/m3)]]&gt;15,1,0)</f>
        <v>1</v>
      </c>
      <c r="I42" t="str">
        <f t="shared" si="5"/>
        <v>unsafe</v>
      </c>
      <c r="J42">
        <f>IF(AirQuality[[#This Row],[Air Quality Status]]="unsafe",J41+1,0)</f>
        <v>41</v>
      </c>
    </row>
    <row r="43" spans="1:10" x14ac:dyDescent="0.3">
      <c r="A43" s="1">
        <v>44241</v>
      </c>
      <c r="B43">
        <v>90</v>
      </c>
      <c r="C43">
        <f t="shared" si="0"/>
        <v>2021</v>
      </c>
      <c r="D43" t="str">
        <f t="shared" si="1"/>
        <v>February</v>
      </c>
      <c r="E43">
        <f t="shared" si="2"/>
        <v>2</v>
      </c>
      <c r="F43" t="str">
        <f t="shared" si="3"/>
        <v>Feb 2021</v>
      </c>
      <c r="G43" t="str">
        <f t="shared" si="4"/>
        <v>Q1</v>
      </c>
      <c r="H43">
        <f>IF(AirQuality[[#This Row],[pm25  (ug/m3)]]&gt;15,1,0)</f>
        <v>1</v>
      </c>
      <c r="I43" t="str">
        <f t="shared" si="5"/>
        <v>unsafe</v>
      </c>
      <c r="J43">
        <f>IF(AirQuality[[#This Row],[Air Quality Status]]="unsafe",J42+1,0)</f>
        <v>42</v>
      </c>
    </row>
    <row r="44" spans="1:10" x14ac:dyDescent="0.3">
      <c r="A44" s="1">
        <v>44242</v>
      </c>
      <c r="B44">
        <v>95</v>
      </c>
      <c r="C44">
        <f t="shared" si="0"/>
        <v>2021</v>
      </c>
      <c r="D44" t="str">
        <f t="shared" si="1"/>
        <v>February</v>
      </c>
      <c r="E44">
        <f t="shared" si="2"/>
        <v>2</v>
      </c>
      <c r="F44" t="str">
        <f t="shared" si="3"/>
        <v>Feb 2021</v>
      </c>
      <c r="G44" t="str">
        <f t="shared" si="4"/>
        <v>Q1</v>
      </c>
      <c r="H44">
        <f>IF(AirQuality[[#This Row],[pm25  (ug/m3)]]&gt;15,1,0)</f>
        <v>1</v>
      </c>
      <c r="I44" t="str">
        <f t="shared" si="5"/>
        <v>unsafe</v>
      </c>
      <c r="J44">
        <f>IF(AirQuality[[#This Row],[Air Quality Status]]="unsafe",J43+1,0)</f>
        <v>43</v>
      </c>
    </row>
    <row r="45" spans="1:10" x14ac:dyDescent="0.3">
      <c r="A45" s="1">
        <v>44243</v>
      </c>
      <c r="B45">
        <v>85</v>
      </c>
      <c r="C45">
        <f t="shared" si="0"/>
        <v>2021</v>
      </c>
      <c r="D45" t="str">
        <f t="shared" si="1"/>
        <v>February</v>
      </c>
      <c r="E45">
        <f t="shared" si="2"/>
        <v>2</v>
      </c>
      <c r="F45" t="str">
        <f t="shared" si="3"/>
        <v>Feb 2021</v>
      </c>
      <c r="G45" t="str">
        <f t="shared" si="4"/>
        <v>Q1</v>
      </c>
      <c r="H45">
        <f>IF(AirQuality[[#This Row],[pm25  (ug/m3)]]&gt;15,1,0)</f>
        <v>1</v>
      </c>
      <c r="I45" t="str">
        <f t="shared" si="5"/>
        <v>unsafe</v>
      </c>
      <c r="J45">
        <f>IF(AirQuality[[#This Row],[Air Quality Status]]="unsafe",J44+1,0)</f>
        <v>44</v>
      </c>
    </row>
    <row r="46" spans="1:10" x14ac:dyDescent="0.3">
      <c r="A46" s="1">
        <v>44244</v>
      </c>
      <c r="B46">
        <v>106</v>
      </c>
      <c r="C46">
        <f t="shared" si="0"/>
        <v>2021</v>
      </c>
      <c r="D46" t="str">
        <f t="shared" si="1"/>
        <v>February</v>
      </c>
      <c r="E46">
        <f t="shared" si="2"/>
        <v>2</v>
      </c>
      <c r="F46" t="str">
        <f t="shared" si="3"/>
        <v>Feb 2021</v>
      </c>
      <c r="G46" t="str">
        <f t="shared" si="4"/>
        <v>Q1</v>
      </c>
      <c r="H46">
        <f>IF(AirQuality[[#This Row],[pm25  (ug/m3)]]&gt;15,1,0)</f>
        <v>1</v>
      </c>
      <c r="I46" t="str">
        <f t="shared" si="5"/>
        <v>unsafe</v>
      </c>
      <c r="J46">
        <f>IF(AirQuality[[#This Row],[Air Quality Status]]="unsafe",J45+1,0)</f>
        <v>45</v>
      </c>
    </row>
    <row r="47" spans="1:10" x14ac:dyDescent="0.3">
      <c r="A47" s="1">
        <v>44245</v>
      </c>
      <c r="B47">
        <v>192</v>
      </c>
      <c r="C47">
        <f t="shared" si="0"/>
        <v>2021</v>
      </c>
      <c r="D47" t="str">
        <f t="shared" si="1"/>
        <v>February</v>
      </c>
      <c r="E47">
        <f t="shared" si="2"/>
        <v>2</v>
      </c>
      <c r="F47" t="str">
        <f t="shared" si="3"/>
        <v>Feb 2021</v>
      </c>
      <c r="G47" t="str">
        <f t="shared" si="4"/>
        <v>Q1</v>
      </c>
      <c r="H47">
        <f>IF(AirQuality[[#This Row],[pm25  (ug/m3)]]&gt;15,1,0)</f>
        <v>1</v>
      </c>
      <c r="I47" t="str">
        <f t="shared" si="5"/>
        <v>unsafe</v>
      </c>
      <c r="J47">
        <f>IF(AirQuality[[#This Row],[Air Quality Status]]="unsafe",J46+1,0)</f>
        <v>46</v>
      </c>
    </row>
    <row r="48" spans="1:10" x14ac:dyDescent="0.3">
      <c r="A48" s="1">
        <v>44246</v>
      </c>
      <c r="B48">
        <v>321</v>
      </c>
      <c r="C48">
        <f t="shared" si="0"/>
        <v>2021</v>
      </c>
      <c r="D48" t="str">
        <f t="shared" si="1"/>
        <v>February</v>
      </c>
      <c r="E48">
        <f t="shared" si="2"/>
        <v>2</v>
      </c>
      <c r="F48" t="str">
        <f t="shared" si="3"/>
        <v>Feb 2021</v>
      </c>
      <c r="G48" t="str">
        <f t="shared" si="4"/>
        <v>Q1</v>
      </c>
      <c r="H48">
        <f>IF(AirQuality[[#This Row],[pm25  (ug/m3)]]&gt;15,1,0)</f>
        <v>1</v>
      </c>
      <c r="I48" t="str">
        <f t="shared" si="5"/>
        <v>unsafe</v>
      </c>
      <c r="J48">
        <f>IF(AirQuality[[#This Row],[Air Quality Status]]="unsafe",J47+1,0)</f>
        <v>47</v>
      </c>
    </row>
    <row r="49" spans="1:10" x14ac:dyDescent="0.3">
      <c r="A49" s="1">
        <v>44247</v>
      </c>
      <c r="B49">
        <v>370</v>
      </c>
      <c r="C49">
        <f t="shared" si="0"/>
        <v>2021</v>
      </c>
      <c r="D49" t="str">
        <f t="shared" si="1"/>
        <v>February</v>
      </c>
      <c r="E49">
        <f t="shared" si="2"/>
        <v>2</v>
      </c>
      <c r="F49" t="str">
        <f t="shared" si="3"/>
        <v>Feb 2021</v>
      </c>
      <c r="G49" t="str">
        <f t="shared" si="4"/>
        <v>Q1</v>
      </c>
      <c r="H49">
        <f>IF(AirQuality[[#This Row],[pm25  (ug/m3)]]&gt;15,1,0)</f>
        <v>1</v>
      </c>
      <c r="I49" t="str">
        <f t="shared" si="5"/>
        <v>unsafe</v>
      </c>
      <c r="J49">
        <f>IF(AirQuality[[#This Row],[Air Quality Status]]="unsafe",J48+1,0)</f>
        <v>48</v>
      </c>
    </row>
    <row r="50" spans="1:10" x14ac:dyDescent="0.3">
      <c r="A50" s="1">
        <v>44248</v>
      </c>
      <c r="B50">
        <v>327</v>
      </c>
      <c r="C50">
        <f t="shared" si="0"/>
        <v>2021</v>
      </c>
      <c r="D50" t="str">
        <f t="shared" si="1"/>
        <v>February</v>
      </c>
      <c r="E50">
        <f t="shared" si="2"/>
        <v>2</v>
      </c>
      <c r="F50" t="str">
        <f t="shared" si="3"/>
        <v>Feb 2021</v>
      </c>
      <c r="G50" t="str">
        <f t="shared" si="4"/>
        <v>Q1</v>
      </c>
      <c r="H50">
        <f>IF(AirQuality[[#This Row],[pm25  (ug/m3)]]&gt;15,1,0)</f>
        <v>1</v>
      </c>
      <c r="I50" t="str">
        <f t="shared" si="5"/>
        <v>unsafe</v>
      </c>
      <c r="J50">
        <f>IF(AirQuality[[#This Row],[Air Quality Status]]="unsafe",J49+1,0)</f>
        <v>49</v>
      </c>
    </row>
    <row r="51" spans="1:10" x14ac:dyDescent="0.3">
      <c r="A51" s="1">
        <v>44249</v>
      </c>
      <c r="B51">
        <v>198</v>
      </c>
      <c r="C51">
        <f t="shared" si="0"/>
        <v>2021</v>
      </c>
      <c r="D51" t="str">
        <f t="shared" si="1"/>
        <v>February</v>
      </c>
      <c r="E51">
        <f t="shared" si="2"/>
        <v>2</v>
      </c>
      <c r="F51" t="str">
        <f t="shared" si="3"/>
        <v>Feb 2021</v>
      </c>
      <c r="G51" t="str">
        <f t="shared" si="4"/>
        <v>Q1</v>
      </c>
      <c r="H51">
        <f>IF(AirQuality[[#This Row],[pm25  (ug/m3)]]&gt;15,1,0)</f>
        <v>1</v>
      </c>
      <c r="I51" t="str">
        <f t="shared" si="5"/>
        <v>unsafe</v>
      </c>
      <c r="J51">
        <f>IF(AirQuality[[#This Row],[Air Quality Status]]="unsafe",J50+1,0)</f>
        <v>50</v>
      </c>
    </row>
    <row r="52" spans="1:10" x14ac:dyDescent="0.3">
      <c r="A52" s="1">
        <v>44250</v>
      </c>
      <c r="B52">
        <v>190</v>
      </c>
      <c r="C52">
        <f t="shared" si="0"/>
        <v>2021</v>
      </c>
      <c r="D52" t="str">
        <f t="shared" si="1"/>
        <v>February</v>
      </c>
      <c r="E52">
        <f t="shared" si="2"/>
        <v>2</v>
      </c>
      <c r="F52" t="str">
        <f t="shared" si="3"/>
        <v>Feb 2021</v>
      </c>
      <c r="G52" t="str">
        <f t="shared" si="4"/>
        <v>Q1</v>
      </c>
      <c r="H52">
        <f>IF(AirQuality[[#This Row],[pm25  (ug/m3)]]&gt;15,1,0)</f>
        <v>1</v>
      </c>
      <c r="I52" t="str">
        <f t="shared" si="5"/>
        <v>unsafe</v>
      </c>
      <c r="J52">
        <f>IF(AirQuality[[#This Row],[Air Quality Status]]="unsafe",J51+1,0)</f>
        <v>51</v>
      </c>
    </row>
    <row r="53" spans="1:10" x14ac:dyDescent="0.3">
      <c r="A53" s="1">
        <v>44251</v>
      </c>
      <c r="B53">
        <v>179</v>
      </c>
      <c r="C53">
        <f t="shared" si="0"/>
        <v>2021</v>
      </c>
      <c r="D53" t="str">
        <f t="shared" si="1"/>
        <v>February</v>
      </c>
      <c r="E53">
        <f t="shared" si="2"/>
        <v>2</v>
      </c>
      <c r="F53" t="str">
        <f t="shared" si="3"/>
        <v>Feb 2021</v>
      </c>
      <c r="G53" t="str">
        <f t="shared" si="4"/>
        <v>Q1</v>
      </c>
      <c r="H53">
        <f>IF(AirQuality[[#This Row],[pm25  (ug/m3)]]&gt;15,1,0)</f>
        <v>1</v>
      </c>
      <c r="I53" t="str">
        <f t="shared" si="5"/>
        <v>unsafe</v>
      </c>
      <c r="J53">
        <f>IF(AirQuality[[#This Row],[Air Quality Status]]="unsafe",J52+1,0)</f>
        <v>52</v>
      </c>
    </row>
    <row r="54" spans="1:10" x14ac:dyDescent="0.3">
      <c r="A54" s="1">
        <v>44252</v>
      </c>
      <c r="B54">
        <v>166</v>
      </c>
      <c r="C54">
        <f t="shared" si="0"/>
        <v>2021</v>
      </c>
      <c r="D54" t="str">
        <f t="shared" si="1"/>
        <v>February</v>
      </c>
      <c r="E54">
        <f t="shared" si="2"/>
        <v>2</v>
      </c>
      <c r="F54" t="str">
        <f t="shared" si="3"/>
        <v>Feb 2021</v>
      </c>
      <c r="G54" t="str">
        <f t="shared" si="4"/>
        <v>Q1</v>
      </c>
      <c r="H54">
        <f>IF(AirQuality[[#This Row],[pm25  (ug/m3)]]&gt;15,1,0)</f>
        <v>1</v>
      </c>
      <c r="I54" t="str">
        <f t="shared" si="5"/>
        <v>unsafe</v>
      </c>
      <c r="J54">
        <f>IF(AirQuality[[#This Row],[Air Quality Status]]="unsafe",J53+1,0)</f>
        <v>53</v>
      </c>
    </row>
    <row r="55" spans="1:10" x14ac:dyDescent="0.3">
      <c r="A55" s="1">
        <v>44253</v>
      </c>
      <c r="B55">
        <v>149</v>
      </c>
      <c r="C55">
        <f t="shared" si="0"/>
        <v>2021</v>
      </c>
      <c r="D55" t="str">
        <f t="shared" si="1"/>
        <v>February</v>
      </c>
      <c r="E55">
        <f t="shared" si="2"/>
        <v>2</v>
      </c>
      <c r="F55" t="str">
        <f t="shared" si="3"/>
        <v>Feb 2021</v>
      </c>
      <c r="G55" t="str">
        <f t="shared" si="4"/>
        <v>Q1</v>
      </c>
      <c r="H55">
        <f>IF(AirQuality[[#This Row],[pm25  (ug/m3)]]&gt;15,1,0)</f>
        <v>1</v>
      </c>
      <c r="I55" t="str">
        <f t="shared" si="5"/>
        <v>unsafe</v>
      </c>
      <c r="J55">
        <f>IF(AirQuality[[#This Row],[Air Quality Status]]="unsafe",J54+1,0)</f>
        <v>54</v>
      </c>
    </row>
    <row r="56" spans="1:10" x14ac:dyDescent="0.3">
      <c r="A56" s="1">
        <v>44254</v>
      </c>
      <c r="B56">
        <v>141</v>
      </c>
      <c r="C56">
        <f t="shared" si="0"/>
        <v>2021</v>
      </c>
      <c r="D56" t="str">
        <f t="shared" si="1"/>
        <v>February</v>
      </c>
      <c r="E56">
        <f t="shared" si="2"/>
        <v>2</v>
      </c>
      <c r="F56" t="str">
        <f t="shared" si="3"/>
        <v>Feb 2021</v>
      </c>
      <c r="G56" t="str">
        <f t="shared" si="4"/>
        <v>Q1</v>
      </c>
      <c r="H56">
        <f>IF(AirQuality[[#This Row],[pm25  (ug/m3)]]&gt;15,1,0)</f>
        <v>1</v>
      </c>
      <c r="I56" t="str">
        <f t="shared" si="5"/>
        <v>unsafe</v>
      </c>
      <c r="J56">
        <f>IF(AirQuality[[#This Row],[Air Quality Status]]="unsafe",J55+1,0)</f>
        <v>55</v>
      </c>
    </row>
    <row r="57" spans="1:10" x14ac:dyDescent="0.3">
      <c r="A57" s="1">
        <v>44255</v>
      </c>
      <c r="B57">
        <v>130</v>
      </c>
      <c r="C57">
        <f t="shared" si="0"/>
        <v>2021</v>
      </c>
      <c r="D57" t="str">
        <f t="shared" si="1"/>
        <v>February</v>
      </c>
      <c r="E57">
        <f t="shared" si="2"/>
        <v>2</v>
      </c>
      <c r="F57" t="str">
        <f t="shared" si="3"/>
        <v>Feb 2021</v>
      </c>
      <c r="G57" t="str">
        <f t="shared" si="4"/>
        <v>Q1</v>
      </c>
      <c r="H57">
        <f>IF(AirQuality[[#This Row],[pm25  (ug/m3)]]&gt;15,1,0)</f>
        <v>1</v>
      </c>
      <c r="I57" t="str">
        <f t="shared" si="5"/>
        <v>unsafe</v>
      </c>
      <c r="J57">
        <f>IF(AirQuality[[#This Row],[Air Quality Status]]="unsafe",J56+1,0)</f>
        <v>56</v>
      </c>
    </row>
    <row r="58" spans="1:10" x14ac:dyDescent="0.3">
      <c r="A58" s="1">
        <v>44256</v>
      </c>
      <c r="B58">
        <v>123</v>
      </c>
      <c r="C58">
        <f t="shared" si="0"/>
        <v>2021</v>
      </c>
      <c r="D58" t="str">
        <f t="shared" si="1"/>
        <v>March</v>
      </c>
      <c r="E58">
        <f t="shared" si="2"/>
        <v>3</v>
      </c>
      <c r="F58" t="str">
        <f t="shared" si="3"/>
        <v>Mar 2021</v>
      </c>
      <c r="G58" t="str">
        <f t="shared" si="4"/>
        <v>Q1</v>
      </c>
      <c r="H58">
        <f>IF(AirQuality[[#This Row],[pm25  (ug/m3)]]&gt;15,1,0)</f>
        <v>1</v>
      </c>
      <c r="I58" t="str">
        <f t="shared" si="5"/>
        <v>unsafe</v>
      </c>
      <c r="J58">
        <f>IF(AirQuality[[#This Row],[Air Quality Status]]="unsafe",J57+1,0)</f>
        <v>57</v>
      </c>
    </row>
    <row r="59" spans="1:10" x14ac:dyDescent="0.3">
      <c r="A59" s="1">
        <v>44257</v>
      </c>
      <c r="B59">
        <v>126</v>
      </c>
      <c r="C59">
        <f t="shared" si="0"/>
        <v>2021</v>
      </c>
      <c r="D59" t="str">
        <f t="shared" si="1"/>
        <v>March</v>
      </c>
      <c r="E59">
        <f t="shared" si="2"/>
        <v>3</v>
      </c>
      <c r="F59" t="str">
        <f t="shared" si="3"/>
        <v>Mar 2021</v>
      </c>
      <c r="G59" t="str">
        <f t="shared" si="4"/>
        <v>Q1</v>
      </c>
      <c r="H59">
        <f>IF(AirQuality[[#This Row],[pm25  (ug/m3)]]&gt;15,1,0)</f>
        <v>1</v>
      </c>
      <c r="I59" t="str">
        <f t="shared" si="5"/>
        <v>unsafe</v>
      </c>
      <c r="J59">
        <f>IF(AirQuality[[#This Row],[Air Quality Status]]="unsafe",J58+1,0)</f>
        <v>58</v>
      </c>
    </row>
    <row r="60" spans="1:10" x14ac:dyDescent="0.3">
      <c r="A60" s="1">
        <v>44258</v>
      </c>
      <c r="B60">
        <v>131</v>
      </c>
      <c r="C60">
        <f t="shared" si="0"/>
        <v>2021</v>
      </c>
      <c r="D60" t="str">
        <f t="shared" si="1"/>
        <v>March</v>
      </c>
      <c r="E60">
        <f t="shared" si="2"/>
        <v>3</v>
      </c>
      <c r="F60" t="str">
        <f t="shared" si="3"/>
        <v>Mar 2021</v>
      </c>
      <c r="G60" t="str">
        <f t="shared" si="4"/>
        <v>Q1</v>
      </c>
      <c r="H60">
        <f>IF(AirQuality[[#This Row],[pm25  (ug/m3)]]&gt;15,1,0)</f>
        <v>1</v>
      </c>
      <c r="I60" t="str">
        <f t="shared" si="5"/>
        <v>unsafe</v>
      </c>
      <c r="J60">
        <f>IF(AirQuality[[#This Row],[Air Quality Status]]="unsafe",J59+1,0)</f>
        <v>59</v>
      </c>
    </row>
    <row r="61" spans="1:10" x14ac:dyDescent="0.3">
      <c r="A61" s="1">
        <v>44259</v>
      </c>
      <c r="B61">
        <v>120</v>
      </c>
      <c r="C61">
        <f t="shared" si="0"/>
        <v>2021</v>
      </c>
      <c r="D61" t="str">
        <f t="shared" si="1"/>
        <v>March</v>
      </c>
      <c r="E61">
        <f t="shared" si="2"/>
        <v>3</v>
      </c>
      <c r="F61" t="str">
        <f t="shared" si="3"/>
        <v>Mar 2021</v>
      </c>
      <c r="G61" t="str">
        <f t="shared" si="4"/>
        <v>Q1</v>
      </c>
      <c r="H61">
        <f>IF(AirQuality[[#This Row],[pm25  (ug/m3)]]&gt;15,1,0)</f>
        <v>1</v>
      </c>
      <c r="I61" t="str">
        <f t="shared" si="5"/>
        <v>unsafe</v>
      </c>
      <c r="J61">
        <f>IF(AirQuality[[#This Row],[Air Quality Status]]="unsafe",J60+1,0)</f>
        <v>60</v>
      </c>
    </row>
    <row r="62" spans="1:10" x14ac:dyDescent="0.3">
      <c r="A62" s="1">
        <v>44260</v>
      </c>
      <c r="B62">
        <v>111</v>
      </c>
      <c r="C62">
        <f t="shared" si="0"/>
        <v>2021</v>
      </c>
      <c r="D62" t="str">
        <f t="shared" si="1"/>
        <v>March</v>
      </c>
      <c r="E62">
        <f t="shared" si="2"/>
        <v>3</v>
      </c>
      <c r="F62" t="str">
        <f t="shared" si="3"/>
        <v>Mar 2021</v>
      </c>
      <c r="G62" t="str">
        <f t="shared" si="4"/>
        <v>Q1</v>
      </c>
      <c r="H62">
        <f>IF(AirQuality[[#This Row],[pm25  (ug/m3)]]&gt;15,1,0)</f>
        <v>1</v>
      </c>
      <c r="I62" t="str">
        <f t="shared" si="5"/>
        <v>unsafe</v>
      </c>
      <c r="J62">
        <f>IF(AirQuality[[#This Row],[Air Quality Status]]="unsafe",J61+1,0)</f>
        <v>61</v>
      </c>
    </row>
    <row r="63" spans="1:10" x14ac:dyDescent="0.3">
      <c r="A63" s="1">
        <v>44261</v>
      </c>
      <c r="B63">
        <v>113</v>
      </c>
      <c r="C63">
        <f t="shared" si="0"/>
        <v>2021</v>
      </c>
      <c r="D63" t="str">
        <f t="shared" si="1"/>
        <v>March</v>
      </c>
      <c r="E63">
        <f t="shared" si="2"/>
        <v>3</v>
      </c>
      <c r="F63" t="str">
        <f t="shared" si="3"/>
        <v>Mar 2021</v>
      </c>
      <c r="G63" t="str">
        <f t="shared" si="4"/>
        <v>Q1</v>
      </c>
      <c r="H63">
        <f>IF(AirQuality[[#This Row],[pm25  (ug/m3)]]&gt;15,1,0)</f>
        <v>1</v>
      </c>
      <c r="I63" t="str">
        <f t="shared" si="5"/>
        <v>unsafe</v>
      </c>
      <c r="J63">
        <f>IF(AirQuality[[#This Row],[Air Quality Status]]="unsafe",J62+1,0)</f>
        <v>62</v>
      </c>
    </row>
    <row r="64" spans="1:10" x14ac:dyDescent="0.3">
      <c r="A64" s="1">
        <v>44262</v>
      </c>
      <c r="B64">
        <v>91</v>
      </c>
      <c r="C64">
        <f t="shared" si="0"/>
        <v>2021</v>
      </c>
      <c r="D64" t="str">
        <f t="shared" si="1"/>
        <v>March</v>
      </c>
      <c r="E64">
        <f t="shared" si="2"/>
        <v>3</v>
      </c>
      <c r="F64" t="str">
        <f t="shared" si="3"/>
        <v>Mar 2021</v>
      </c>
      <c r="G64" t="str">
        <f t="shared" si="4"/>
        <v>Q1</v>
      </c>
      <c r="H64">
        <f>IF(AirQuality[[#This Row],[pm25  (ug/m3)]]&gt;15,1,0)</f>
        <v>1</v>
      </c>
      <c r="I64" t="str">
        <f t="shared" si="5"/>
        <v>unsafe</v>
      </c>
      <c r="J64">
        <f>IF(AirQuality[[#This Row],[Air Quality Status]]="unsafe",J63+1,0)</f>
        <v>63</v>
      </c>
    </row>
    <row r="65" spans="1:10" x14ac:dyDescent="0.3">
      <c r="A65" s="1">
        <v>44263</v>
      </c>
      <c r="B65">
        <v>90</v>
      </c>
      <c r="C65">
        <f t="shared" si="0"/>
        <v>2021</v>
      </c>
      <c r="D65" t="str">
        <f t="shared" si="1"/>
        <v>March</v>
      </c>
      <c r="E65">
        <f t="shared" si="2"/>
        <v>3</v>
      </c>
      <c r="F65" t="str">
        <f t="shared" si="3"/>
        <v>Mar 2021</v>
      </c>
      <c r="G65" t="str">
        <f t="shared" si="4"/>
        <v>Q1</v>
      </c>
      <c r="H65">
        <f>IF(AirQuality[[#This Row],[pm25  (ug/m3)]]&gt;15,1,0)</f>
        <v>1</v>
      </c>
      <c r="I65" t="str">
        <f t="shared" si="5"/>
        <v>unsafe</v>
      </c>
      <c r="J65">
        <f>IF(AirQuality[[#This Row],[Air Quality Status]]="unsafe",J64+1,0)</f>
        <v>64</v>
      </c>
    </row>
    <row r="66" spans="1:10" x14ac:dyDescent="0.3">
      <c r="A66" s="1">
        <v>44264</v>
      </c>
      <c r="B66">
        <v>78</v>
      </c>
      <c r="C66">
        <f t="shared" ref="C66:C129" si="6">YEAR(A66)</f>
        <v>2021</v>
      </c>
      <c r="D66" t="str">
        <f t="shared" ref="D66:D129" si="7">TEXT(A66,"mmmm")</f>
        <v>March</v>
      </c>
      <c r="E66">
        <f t="shared" ref="E66:E129" si="8">MONTH(A66)</f>
        <v>3</v>
      </c>
      <c r="F66" t="str">
        <f t="shared" ref="F66:F129" si="9">TEXT(A66,"mmm yyyy")</f>
        <v>Mar 2021</v>
      </c>
      <c r="G66" t="str">
        <f t="shared" ref="G66:G129" si="10">"Q"&amp;ROUNDUP(MONTH(A66)/3,0)</f>
        <v>Q1</v>
      </c>
      <c r="H66">
        <f>IF(AirQuality[[#This Row],[pm25  (ug/m3)]]&gt;15,1,0)</f>
        <v>1</v>
      </c>
      <c r="I66" t="str">
        <f t="shared" ref="I66:I129" si="11">IF(B66&gt;15,"unsafe","safe")</f>
        <v>unsafe</v>
      </c>
      <c r="J66">
        <f>IF(AirQuality[[#This Row],[Air Quality Status]]="unsafe",J65+1,0)</f>
        <v>65</v>
      </c>
    </row>
    <row r="67" spans="1:10" x14ac:dyDescent="0.3">
      <c r="A67" s="1">
        <v>44265</v>
      </c>
      <c r="B67">
        <v>83</v>
      </c>
      <c r="C67">
        <f t="shared" si="6"/>
        <v>2021</v>
      </c>
      <c r="D67" t="str">
        <f t="shared" si="7"/>
        <v>March</v>
      </c>
      <c r="E67">
        <f t="shared" si="8"/>
        <v>3</v>
      </c>
      <c r="F67" t="str">
        <f t="shared" si="9"/>
        <v>Mar 2021</v>
      </c>
      <c r="G67" t="str">
        <f t="shared" si="10"/>
        <v>Q1</v>
      </c>
      <c r="H67">
        <f>IF(AirQuality[[#This Row],[pm25  (ug/m3)]]&gt;15,1,0)</f>
        <v>1</v>
      </c>
      <c r="I67" t="str">
        <f t="shared" si="11"/>
        <v>unsafe</v>
      </c>
      <c r="J67">
        <f>IF(AirQuality[[#This Row],[Air Quality Status]]="unsafe",J66+1,0)</f>
        <v>66</v>
      </c>
    </row>
    <row r="68" spans="1:10" x14ac:dyDescent="0.3">
      <c r="A68" s="1">
        <v>44266</v>
      </c>
      <c r="B68">
        <v>79</v>
      </c>
      <c r="C68">
        <f t="shared" si="6"/>
        <v>2021</v>
      </c>
      <c r="D68" t="str">
        <f t="shared" si="7"/>
        <v>March</v>
      </c>
      <c r="E68">
        <f t="shared" si="8"/>
        <v>3</v>
      </c>
      <c r="F68" t="str">
        <f t="shared" si="9"/>
        <v>Mar 2021</v>
      </c>
      <c r="G68" t="str">
        <f t="shared" si="10"/>
        <v>Q1</v>
      </c>
      <c r="H68">
        <f>IF(AirQuality[[#This Row],[pm25  (ug/m3)]]&gt;15,1,0)</f>
        <v>1</v>
      </c>
      <c r="I68" t="str">
        <f t="shared" si="11"/>
        <v>unsafe</v>
      </c>
      <c r="J68">
        <f>IF(AirQuality[[#This Row],[Air Quality Status]]="unsafe",J67+1,0)</f>
        <v>67</v>
      </c>
    </row>
    <row r="69" spans="1:10" x14ac:dyDescent="0.3">
      <c r="A69" s="1">
        <v>44267</v>
      </c>
      <c r="B69">
        <v>90</v>
      </c>
      <c r="C69">
        <f t="shared" si="6"/>
        <v>2021</v>
      </c>
      <c r="D69" t="str">
        <f t="shared" si="7"/>
        <v>March</v>
      </c>
      <c r="E69">
        <f t="shared" si="8"/>
        <v>3</v>
      </c>
      <c r="F69" t="str">
        <f t="shared" si="9"/>
        <v>Mar 2021</v>
      </c>
      <c r="G69" t="str">
        <f t="shared" si="10"/>
        <v>Q1</v>
      </c>
      <c r="H69">
        <f>IF(AirQuality[[#This Row],[pm25  (ug/m3)]]&gt;15,1,0)</f>
        <v>1</v>
      </c>
      <c r="I69" t="str">
        <f t="shared" si="11"/>
        <v>unsafe</v>
      </c>
      <c r="J69">
        <f>IF(AirQuality[[#This Row],[Air Quality Status]]="unsafe",J68+1,0)</f>
        <v>68</v>
      </c>
    </row>
    <row r="70" spans="1:10" x14ac:dyDescent="0.3">
      <c r="A70" s="1">
        <v>44268</v>
      </c>
      <c r="B70">
        <v>86</v>
      </c>
      <c r="C70">
        <f t="shared" si="6"/>
        <v>2021</v>
      </c>
      <c r="D70" t="str">
        <f t="shared" si="7"/>
        <v>March</v>
      </c>
      <c r="E70">
        <f t="shared" si="8"/>
        <v>3</v>
      </c>
      <c r="F70" t="str">
        <f t="shared" si="9"/>
        <v>Mar 2021</v>
      </c>
      <c r="G70" t="str">
        <f t="shared" si="10"/>
        <v>Q1</v>
      </c>
      <c r="H70">
        <f>IF(AirQuality[[#This Row],[pm25  (ug/m3)]]&gt;15,1,0)</f>
        <v>1</v>
      </c>
      <c r="I70" t="str">
        <f t="shared" si="11"/>
        <v>unsafe</v>
      </c>
      <c r="J70">
        <f>IF(AirQuality[[#This Row],[Air Quality Status]]="unsafe",J69+1,0)</f>
        <v>69</v>
      </c>
    </row>
    <row r="71" spans="1:10" x14ac:dyDescent="0.3">
      <c r="A71" s="1">
        <v>44269</v>
      </c>
      <c r="B71">
        <v>76</v>
      </c>
      <c r="C71">
        <f t="shared" si="6"/>
        <v>2021</v>
      </c>
      <c r="D71" t="str">
        <f t="shared" si="7"/>
        <v>March</v>
      </c>
      <c r="E71">
        <f t="shared" si="8"/>
        <v>3</v>
      </c>
      <c r="F71" t="str">
        <f t="shared" si="9"/>
        <v>Mar 2021</v>
      </c>
      <c r="G71" t="str">
        <f t="shared" si="10"/>
        <v>Q1</v>
      </c>
      <c r="H71">
        <f>IF(AirQuality[[#This Row],[pm25  (ug/m3)]]&gt;15,1,0)</f>
        <v>1</v>
      </c>
      <c r="I71" t="str">
        <f t="shared" si="11"/>
        <v>unsafe</v>
      </c>
      <c r="J71">
        <f>IF(AirQuality[[#This Row],[Air Quality Status]]="unsafe",J70+1,0)</f>
        <v>70</v>
      </c>
    </row>
    <row r="72" spans="1:10" x14ac:dyDescent="0.3">
      <c r="A72" s="1">
        <v>44270</v>
      </c>
      <c r="B72">
        <v>82</v>
      </c>
      <c r="C72">
        <f t="shared" si="6"/>
        <v>2021</v>
      </c>
      <c r="D72" t="str">
        <f t="shared" si="7"/>
        <v>March</v>
      </c>
      <c r="E72">
        <f t="shared" si="8"/>
        <v>3</v>
      </c>
      <c r="F72" t="str">
        <f t="shared" si="9"/>
        <v>Mar 2021</v>
      </c>
      <c r="G72" t="str">
        <f t="shared" si="10"/>
        <v>Q1</v>
      </c>
      <c r="H72">
        <f>IF(AirQuality[[#This Row],[pm25  (ug/m3)]]&gt;15,1,0)</f>
        <v>1</v>
      </c>
      <c r="I72" t="str">
        <f t="shared" si="11"/>
        <v>unsafe</v>
      </c>
      <c r="J72">
        <f>IF(AirQuality[[#This Row],[Air Quality Status]]="unsafe",J71+1,0)</f>
        <v>71</v>
      </c>
    </row>
    <row r="73" spans="1:10" x14ac:dyDescent="0.3">
      <c r="A73" s="1">
        <v>44271</v>
      </c>
      <c r="B73">
        <v>67</v>
      </c>
      <c r="C73">
        <f t="shared" si="6"/>
        <v>2021</v>
      </c>
      <c r="D73" t="str">
        <f t="shared" si="7"/>
        <v>March</v>
      </c>
      <c r="E73">
        <f t="shared" si="8"/>
        <v>3</v>
      </c>
      <c r="F73" t="str">
        <f t="shared" si="9"/>
        <v>Mar 2021</v>
      </c>
      <c r="G73" t="str">
        <f t="shared" si="10"/>
        <v>Q1</v>
      </c>
      <c r="H73">
        <f>IF(AirQuality[[#This Row],[pm25  (ug/m3)]]&gt;15,1,0)</f>
        <v>1</v>
      </c>
      <c r="I73" t="str">
        <f t="shared" si="11"/>
        <v>unsafe</v>
      </c>
      <c r="J73">
        <f>IF(AirQuality[[#This Row],[Air Quality Status]]="unsafe",J72+1,0)</f>
        <v>72</v>
      </c>
    </row>
    <row r="74" spans="1:10" x14ac:dyDescent="0.3">
      <c r="A74" s="1">
        <v>44272</v>
      </c>
      <c r="B74">
        <v>86</v>
      </c>
      <c r="C74">
        <f t="shared" si="6"/>
        <v>2021</v>
      </c>
      <c r="D74" t="str">
        <f t="shared" si="7"/>
        <v>March</v>
      </c>
      <c r="E74">
        <f t="shared" si="8"/>
        <v>3</v>
      </c>
      <c r="F74" t="str">
        <f t="shared" si="9"/>
        <v>Mar 2021</v>
      </c>
      <c r="G74" t="str">
        <f t="shared" si="10"/>
        <v>Q1</v>
      </c>
      <c r="H74">
        <f>IF(AirQuality[[#This Row],[pm25  (ug/m3)]]&gt;15,1,0)</f>
        <v>1</v>
      </c>
      <c r="I74" t="str">
        <f t="shared" si="11"/>
        <v>unsafe</v>
      </c>
      <c r="J74">
        <f>IF(AirQuality[[#This Row],[Air Quality Status]]="unsafe",J73+1,0)</f>
        <v>73</v>
      </c>
    </row>
    <row r="75" spans="1:10" x14ac:dyDescent="0.3">
      <c r="A75" s="1">
        <v>44273</v>
      </c>
      <c r="B75">
        <v>113</v>
      </c>
      <c r="C75">
        <f t="shared" si="6"/>
        <v>2021</v>
      </c>
      <c r="D75" t="str">
        <f t="shared" si="7"/>
        <v>March</v>
      </c>
      <c r="E75">
        <f t="shared" si="8"/>
        <v>3</v>
      </c>
      <c r="F75" t="str">
        <f t="shared" si="9"/>
        <v>Mar 2021</v>
      </c>
      <c r="G75" t="str">
        <f t="shared" si="10"/>
        <v>Q1</v>
      </c>
      <c r="H75">
        <f>IF(AirQuality[[#This Row],[pm25  (ug/m3)]]&gt;15,1,0)</f>
        <v>1</v>
      </c>
      <c r="I75" t="str">
        <f t="shared" si="11"/>
        <v>unsafe</v>
      </c>
      <c r="J75">
        <f>IF(AirQuality[[#This Row],[Air Quality Status]]="unsafe",J74+1,0)</f>
        <v>74</v>
      </c>
    </row>
    <row r="76" spans="1:10" x14ac:dyDescent="0.3">
      <c r="A76" s="1">
        <v>44274</v>
      </c>
      <c r="B76">
        <v>119</v>
      </c>
      <c r="C76">
        <f t="shared" si="6"/>
        <v>2021</v>
      </c>
      <c r="D76" t="str">
        <f t="shared" si="7"/>
        <v>March</v>
      </c>
      <c r="E76">
        <f t="shared" si="8"/>
        <v>3</v>
      </c>
      <c r="F76" t="str">
        <f t="shared" si="9"/>
        <v>Mar 2021</v>
      </c>
      <c r="G76" t="str">
        <f t="shared" si="10"/>
        <v>Q1</v>
      </c>
      <c r="H76">
        <f>IF(AirQuality[[#This Row],[pm25  (ug/m3)]]&gt;15,1,0)</f>
        <v>1</v>
      </c>
      <c r="I76" t="str">
        <f t="shared" si="11"/>
        <v>unsafe</v>
      </c>
      <c r="J76">
        <f>IF(AirQuality[[#This Row],[Air Quality Status]]="unsafe",J75+1,0)</f>
        <v>75</v>
      </c>
    </row>
    <row r="77" spans="1:10" x14ac:dyDescent="0.3">
      <c r="A77" s="1">
        <v>44275</v>
      </c>
      <c r="B77">
        <v>62</v>
      </c>
      <c r="C77">
        <f t="shared" si="6"/>
        <v>2021</v>
      </c>
      <c r="D77" t="str">
        <f t="shared" si="7"/>
        <v>March</v>
      </c>
      <c r="E77">
        <f t="shared" si="8"/>
        <v>3</v>
      </c>
      <c r="F77" t="str">
        <f t="shared" si="9"/>
        <v>Mar 2021</v>
      </c>
      <c r="G77" t="str">
        <f t="shared" si="10"/>
        <v>Q1</v>
      </c>
      <c r="H77">
        <f>IF(AirQuality[[#This Row],[pm25  (ug/m3)]]&gt;15,1,0)</f>
        <v>1</v>
      </c>
      <c r="I77" t="str">
        <f t="shared" si="11"/>
        <v>unsafe</v>
      </c>
      <c r="J77">
        <f>IF(AirQuality[[#This Row],[Air Quality Status]]="unsafe",J76+1,0)</f>
        <v>76</v>
      </c>
    </row>
    <row r="78" spans="1:10" x14ac:dyDescent="0.3">
      <c r="A78" s="1">
        <v>44276</v>
      </c>
      <c r="B78">
        <v>62</v>
      </c>
      <c r="C78">
        <f t="shared" si="6"/>
        <v>2021</v>
      </c>
      <c r="D78" t="str">
        <f t="shared" si="7"/>
        <v>March</v>
      </c>
      <c r="E78">
        <f t="shared" si="8"/>
        <v>3</v>
      </c>
      <c r="F78" t="str">
        <f t="shared" si="9"/>
        <v>Mar 2021</v>
      </c>
      <c r="G78" t="str">
        <f t="shared" si="10"/>
        <v>Q1</v>
      </c>
      <c r="H78">
        <f>IF(AirQuality[[#This Row],[pm25  (ug/m3)]]&gt;15,1,0)</f>
        <v>1</v>
      </c>
      <c r="I78" t="str">
        <f t="shared" si="11"/>
        <v>unsafe</v>
      </c>
      <c r="J78">
        <f>IF(AirQuality[[#This Row],[Air Quality Status]]="unsafe",J77+1,0)</f>
        <v>77</v>
      </c>
    </row>
    <row r="79" spans="1:10" x14ac:dyDescent="0.3">
      <c r="A79" s="1">
        <v>44277</v>
      </c>
      <c r="B79">
        <v>65</v>
      </c>
      <c r="C79">
        <f t="shared" si="6"/>
        <v>2021</v>
      </c>
      <c r="D79" t="str">
        <f t="shared" si="7"/>
        <v>March</v>
      </c>
      <c r="E79">
        <f t="shared" si="8"/>
        <v>3</v>
      </c>
      <c r="F79" t="str">
        <f t="shared" si="9"/>
        <v>Mar 2021</v>
      </c>
      <c r="G79" t="str">
        <f t="shared" si="10"/>
        <v>Q1</v>
      </c>
      <c r="H79">
        <f>IF(AirQuality[[#This Row],[pm25  (ug/m3)]]&gt;15,1,0)</f>
        <v>1</v>
      </c>
      <c r="I79" t="str">
        <f t="shared" si="11"/>
        <v>unsafe</v>
      </c>
      <c r="J79">
        <f>IF(AirQuality[[#This Row],[Air Quality Status]]="unsafe",J78+1,0)</f>
        <v>78</v>
      </c>
    </row>
    <row r="80" spans="1:10" x14ac:dyDescent="0.3">
      <c r="A80" s="1">
        <v>44278</v>
      </c>
      <c r="B80">
        <v>77</v>
      </c>
      <c r="C80">
        <f t="shared" si="6"/>
        <v>2021</v>
      </c>
      <c r="D80" t="str">
        <f t="shared" si="7"/>
        <v>March</v>
      </c>
      <c r="E80">
        <f t="shared" si="8"/>
        <v>3</v>
      </c>
      <c r="F80" t="str">
        <f t="shared" si="9"/>
        <v>Mar 2021</v>
      </c>
      <c r="G80" t="str">
        <f t="shared" si="10"/>
        <v>Q1</v>
      </c>
      <c r="H80">
        <f>IF(AirQuality[[#This Row],[pm25  (ug/m3)]]&gt;15,1,0)</f>
        <v>1</v>
      </c>
      <c r="I80" t="str">
        <f t="shared" si="11"/>
        <v>unsafe</v>
      </c>
      <c r="J80">
        <f>IF(AirQuality[[#This Row],[Air Quality Status]]="unsafe",J79+1,0)</f>
        <v>79</v>
      </c>
    </row>
    <row r="81" spans="1:10" x14ac:dyDescent="0.3">
      <c r="A81" s="1">
        <v>44279</v>
      </c>
      <c r="B81">
        <v>119</v>
      </c>
      <c r="C81">
        <f t="shared" si="6"/>
        <v>2021</v>
      </c>
      <c r="D81" t="str">
        <f t="shared" si="7"/>
        <v>March</v>
      </c>
      <c r="E81">
        <f t="shared" si="8"/>
        <v>3</v>
      </c>
      <c r="F81" t="str">
        <f t="shared" si="9"/>
        <v>Mar 2021</v>
      </c>
      <c r="G81" t="str">
        <f t="shared" si="10"/>
        <v>Q1</v>
      </c>
      <c r="H81">
        <f>IF(AirQuality[[#This Row],[pm25  (ug/m3)]]&gt;15,1,0)</f>
        <v>1</v>
      </c>
      <c r="I81" t="str">
        <f t="shared" si="11"/>
        <v>unsafe</v>
      </c>
      <c r="J81">
        <f>IF(AirQuality[[#This Row],[Air Quality Status]]="unsafe",J80+1,0)</f>
        <v>80</v>
      </c>
    </row>
    <row r="82" spans="1:10" x14ac:dyDescent="0.3">
      <c r="A82" s="1">
        <v>44280</v>
      </c>
      <c r="B82">
        <v>40</v>
      </c>
      <c r="C82">
        <f t="shared" si="6"/>
        <v>2021</v>
      </c>
      <c r="D82" t="str">
        <f t="shared" si="7"/>
        <v>March</v>
      </c>
      <c r="E82">
        <f t="shared" si="8"/>
        <v>3</v>
      </c>
      <c r="F82" t="str">
        <f t="shared" si="9"/>
        <v>Mar 2021</v>
      </c>
      <c r="G82" t="str">
        <f t="shared" si="10"/>
        <v>Q1</v>
      </c>
      <c r="H82">
        <f>IF(AirQuality[[#This Row],[pm25  (ug/m3)]]&gt;15,1,0)</f>
        <v>1</v>
      </c>
      <c r="I82" t="str">
        <f t="shared" si="11"/>
        <v>unsafe</v>
      </c>
      <c r="J82">
        <f>IF(AirQuality[[#This Row],[Air Quality Status]]="unsafe",J81+1,0)</f>
        <v>81</v>
      </c>
    </row>
    <row r="83" spans="1:10" x14ac:dyDescent="0.3">
      <c r="A83" s="1">
        <v>44281</v>
      </c>
      <c r="B83">
        <v>83</v>
      </c>
      <c r="C83">
        <f t="shared" si="6"/>
        <v>2021</v>
      </c>
      <c r="D83" t="str">
        <f t="shared" si="7"/>
        <v>March</v>
      </c>
      <c r="E83">
        <f t="shared" si="8"/>
        <v>3</v>
      </c>
      <c r="F83" t="str">
        <f t="shared" si="9"/>
        <v>Mar 2021</v>
      </c>
      <c r="G83" t="str">
        <f t="shared" si="10"/>
        <v>Q1</v>
      </c>
      <c r="H83">
        <f>IF(AirQuality[[#This Row],[pm25  (ug/m3)]]&gt;15,1,0)</f>
        <v>1</v>
      </c>
      <c r="I83" t="str">
        <f t="shared" si="11"/>
        <v>unsafe</v>
      </c>
      <c r="J83">
        <f>IF(AirQuality[[#This Row],[Air Quality Status]]="unsafe",J82+1,0)</f>
        <v>82</v>
      </c>
    </row>
    <row r="84" spans="1:10" x14ac:dyDescent="0.3">
      <c r="A84" s="1">
        <v>44283</v>
      </c>
      <c r="B84">
        <v>120</v>
      </c>
      <c r="C84">
        <f t="shared" si="6"/>
        <v>2021</v>
      </c>
      <c r="D84" t="str">
        <f t="shared" si="7"/>
        <v>March</v>
      </c>
      <c r="E84">
        <f t="shared" si="8"/>
        <v>3</v>
      </c>
      <c r="F84" t="str">
        <f t="shared" si="9"/>
        <v>Mar 2021</v>
      </c>
      <c r="G84" t="str">
        <f t="shared" si="10"/>
        <v>Q1</v>
      </c>
      <c r="H84">
        <f>IF(AirQuality[[#This Row],[pm25  (ug/m3)]]&gt;15,1,0)</f>
        <v>1</v>
      </c>
      <c r="I84" t="str">
        <f t="shared" si="11"/>
        <v>unsafe</v>
      </c>
      <c r="J84">
        <f>IF(AirQuality[[#This Row],[Air Quality Status]]="unsafe",J83+1,0)</f>
        <v>83</v>
      </c>
    </row>
    <row r="85" spans="1:10" x14ac:dyDescent="0.3">
      <c r="A85" s="1">
        <v>44284</v>
      </c>
      <c r="B85">
        <v>132</v>
      </c>
      <c r="C85">
        <f t="shared" si="6"/>
        <v>2021</v>
      </c>
      <c r="D85" t="str">
        <f t="shared" si="7"/>
        <v>March</v>
      </c>
      <c r="E85">
        <f t="shared" si="8"/>
        <v>3</v>
      </c>
      <c r="F85" t="str">
        <f t="shared" si="9"/>
        <v>Mar 2021</v>
      </c>
      <c r="G85" t="str">
        <f t="shared" si="10"/>
        <v>Q1</v>
      </c>
      <c r="H85">
        <f>IF(AirQuality[[#This Row],[pm25  (ug/m3)]]&gt;15,1,0)</f>
        <v>1</v>
      </c>
      <c r="I85" t="str">
        <f t="shared" si="11"/>
        <v>unsafe</v>
      </c>
      <c r="J85">
        <f>IF(AirQuality[[#This Row],[Air Quality Status]]="unsafe",J84+1,0)</f>
        <v>84</v>
      </c>
    </row>
    <row r="86" spans="1:10" x14ac:dyDescent="0.3">
      <c r="A86" s="1">
        <v>44285</v>
      </c>
      <c r="B86">
        <v>148</v>
      </c>
      <c r="C86">
        <f t="shared" si="6"/>
        <v>2021</v>
      </c>
      <c r="D86" t="str">
        <f t="shared" si="7"/>
        <v>March</v>
      </c>
      <c r="E86">
        <f t="shared" si="8"/>
        <v>3</v>
      </c>
      <c r="F86" t="str">
        <f t="shared" si="9"/>
        <v>Mar 2021</v>
      </c>
      <c r="G86" t="str">
        <f t="shared" si="10"/>
        <v>Q1</v>
      </c>
      <c r="H86">
        <f>IF(AirQuality[[#This Row],[pm25  (ug/m3)]]&gt;15,1,0)</f>
        <v>1</v>
      </c>
      <c r="I86" t="str">
        <f t="shared" si="11"/>
        <v>unsafe</v>
      </c>
      <c r="J86">
        <f>IF(AirQuality[[#This Row],[Air Quality Status]]="unsafe",J85+1,0)</f>
        <v>85</v>
      </c>
    </row>
    <row r="87" spans="1:10" x14ac:dyDescent="0.3">
      <c r="A87" s="1">
        <v>44286</v>
      </c>
      <c r="B87">
        <v>149</v>
      </c>
      <c r="C87">
        <f t="shared" si="6"/>
        <v>2021</v>
      </c>
      <c r="D87" t="str">
        <f t="shared" si="7"/>
        <v>March</v>
      </c>
      <c r="E87">
        <f t="shared" si="8"/>
        <v>3</v>
      </c>
      <c r="F87" t="str">
        <f t="shared" si="9"/>
        <v>Mar 2021</v>
      </c>
      <c r="G87" t="str">
        <f t="shared" si="10"/>
        <v>Q1</v>
      </c>
      <c r="H87">
        <f>IF(AirQuality[[#This Row],[pm25  (ug/m3)]]&gt;15,1,0)</f>
        <v>1</v>
      </c>
      <c r="I87" t="str">
        <f t="shared" si="11"/>
        <v>unsafe</v>
      </c>
      <c r="J87">
        <f>IF(AirQuality[[#This Row],[Air Quality Status]]="unsafe",J86+1,0)</f>
        <v>86</v>
      </c>
    </row>
    <row r="88" spans="1:10" x14ac:dyDescent="0.3">
      <c r="A88" s="1">
        <v>44287</v>
      </c>
      <c r="B88">
        <v>150</v>
      </c>
      <c r="C88">
        <f t="shared" si="6"/>
        <v>2021</v>
      </c>
      <c r="D88" t="str">
        <f t="shared" si="7"/>
        <v>April</v>
      </c>
      <c r="E88">
        <f t="shared" si="8"/>
        <v>4</v>
      </c>
      <c r="F88" t="str">
        <f t="shared" si="9"/>
        <v>Apr 2021</v>
      </c>
      <c r="G88" t="str">
        <f t="shared" si="10"/>
        <v>Q2</v>
      </c>
      <c r="H88">
        <f>IF(AirQuality[[#This Row],[pm25  (ug/m3)]]&gt;15,1,0)</f>
        <v>1</v>
      </c>
      <c r="I88" t="str">
        <f t="shared" si="11"/>
        <v>unsafe</v>
      </c>
      <c r="J88">
        <f>IF(AirQuality[[#This Row],[Air Quality Status]]="unsafe",J87+1,0)</f>
        <v>87</v>
      </c>
    </row>
    <row r="89" spans="1:10" x14ac:dyDescent="0.3">
      <c r="A89" s="1">
        <v>44288</v>
      </c>
      <c r="B89">
        <v>145</v>
      </c>
      <c r="C89">
        <f t="shared" si="6"/>
        <v>2021</v>
      </c>
      <c r="D89" t="str">
        <f t="shared" si="7"/>
        <v>April</v>
      </c>
      <c r="E89">
        <f t="shared" si="8"/>
        <v>4</v>
      </c>
      <c r="F89" t="str">
        <f t="shared" si="9"/>
        <v>Apr 2021</v>
      </c>
      <c r="G89" t="str">
        <f t="shared" si="10"/>
        <v>Q2</v>
      </c>
      <c r="H89">
        <f>IF(AirQuality[[#This Row],[pm25  (ug/m3)]]&gt;15,1,0)</f>
        <v>1</v>
      </c>
      <c r="I89" t="str">
        <f t="shared" si="11"/>
        <v>unsafe</v>
      </c>
      <c r="J89">
        <f>IF(AirQuality[[#This Row],[Air Quality Status]]="unsafe",J88+1,0)</f>
        <v>88</v>
      </c>
    </row>
    <row r="90" spans="1:10" x14ac:dyDescent="0.3">
      <c r="A90" s="1">
        <v>44289</v>
      </c>
      <c r="B90">
        <v>145</v>
      </c>
      <c r="C90">
        <f t="shared" si="6"/>
        <v>2021</v>
      </c>
      <c r="D90" t="str">
        <f t="shared" si="7"/>
        <v>April</v>
      </c>
      <c r="E90">
        <f t="shared" si="8"/>
        <v>4</v>
      </c>
      <c r="F90" t="str">
        <f t="shared" si="9"/>
        <v>Apr 2021</v>
      </c>
      <c r="G90" t="str">
        <f t="shared" si="10"/>
        <v>Q2</v>
      </c>
      <c r="H90">
        <f>IF(AirQuality[[#This Row],[pm25  (ug/m3)]]&gt;15,1,0)</f>
        <v>1</v>
      </c>
      <c r="I90" t="str">
        <f t="shared" si="11"/>
        <v>unsafe</v>
      </c>
      <c r="J90">
        <f>IF(AirQuality[[#This Row],[Air Quality Status]]="unsafe",J89+1,0)</f>
        <v>89</v>
      </c>
    </row>
    <row r="91" spans="1:10" x14ac:dyDescent="0.3">
      <c r="A91" s="1">
        <v>44290</v>
      </c>
      <c r="B91">
        <v>124</v>
      </c>
      <c r="C91">
        <f t="shared" si="6"/>
        <v>2021</v>
      </c>
      <c r="D91" t="str">
        <f t="shared" si="7"/>
        <v>April</v>
      </c>
      <c r="E91">
        <f t="shared" si="8"/>
        <v>4</v>
      </c>
      <c r="F91" t="str">
        <f t="shared" si="9"/>
        <v>Apr 2021</v>
      </c>
      <c r="G91" t="str">
        <f t="shared" si="10"/>
        <v>Q2</v>
      </c>
      <c r="H91">
        <f>IF(AirQuality[[#This Row],[pm25  (ug/m3)]]&gt;15,1,0)</f>
        <v>1</v>
      </c>
      <c r="I91" t="str">
        <f t="shared" si="11"/>
        <v>unsafe</v>
      </c>
      <c r="J91">
        <f>IF(AirQuality[[#This Row],[Air Quality Status]]="unsafe",J90+1,0)</f>
        <v>90</v>
      </c>
    </row>
    <row r="92" spans="1:10" x14ac:dyDescent="0.3">
      <c r="A92" s="1">
        <v>44291</v>
      </c>
      <c r="B92">
        <v>96</v>
      </c>
      <c r="C92">
        <f t="shared" si="6"/>
        <v>2021</v>
      </c>
      <c r="D92" t="str">
        <f t="shared" si="7"/>
        <v>April</v>
      </c>
      <c r="E92">
        <f t="shared" si="8"/>
        <v>4</v>
      </c>
      <c r="F92" t="str">
        <f t="shared" si="9"/>
        <v>Apr 2021</v>
      </c>
      <c r="G92" t="str">
        <f t="shared" si="10"/>
        <v>Q2</v>
      </c>
      <c r="H92">
        <f>IF(AirQuality[[#This Row],[pm25  (ug/m3)]]&gt;15,1,0)</f>
        <v>1</v>
      </c>
      <c r="I92" t="str">
        <f t="shared" si="11"/>
        <v>unsafe</v>
      </c>
      <c r="J92">
        <f>IF(AirQuality[[#This Row],[Air Quality Status]]="unsafe",J91+1,0)</f>
        <v>91</v>
      </c>
    </row>
    <row r="93" spans="1:10" x14ac:dyDescent="0.3">
      <c r="A93" s="1">
        <v>44292</v>
      </c>
      <c r="B93">
        <v>87</v>
      </c>
      <c r="C93">
        <f t="shared" si="6"/>
        <v>2021</v>
      </c>
      <c r="D93" t="str">
        <f t="shared" si="7"/>
        <v>April</v>
      </c>
      <c r="E93">
        <f t="shared" si="8"/>
        <v>4</v>
      </c>
      <c r="F93" t="str">
        <f t="shared" si="9"/>
        <v>Apr 2021</v>
      </c>
      <c r="G93" t="str">
        <f t="shared" si="10"/>
        <v>Q2</v>
      </c>
      <c r="H93">
        <f>IF(AirQuality[[#This Row],[pm25  (ug/m3)]]&gt;15,1,0)</f>
        <v>1</v>
      </c>
      <c r="I93" t="str">
        <f t="shared" si="11"/>
        <v>unsafe</v>
      </c>
      <c r="J93">
        <f>IF(AirQuality[[#This Row],[Air Quality Status]]="unsafe",J92+1,0)</f>
        <v>92</v>
      </c>
    </row>
    <row r="94" spans="1:10" x14ac:dyDescent="0.3">
      <c r="A94" s="1">
        <v>44293</v>
      </c>
      <c r="B94">
        <v>98</v>
      </c>
      <c r="C94">
        <f t="shared" si="6"/>
        <v>2021</v>
      </c>
      <c r="D94" t="str">
        <f t="shared" si="7"/>
        <v>April</v>
      </c>
      <c r="E94">
        <f t="shared" si="8"/>
        <v>4</v>
      </c>
      <c r="F94" t="str">
        <f t="shared" si="9"/>
        <v>Apr 2021</v>
      </c>
      <c r="G94" t="str">
        <f t="shared" si="10"/>
        <v>Q2</v>
      </c>
      <c r="H94">
        <f>IF(AirQuality[[#This Row],[pm25  (ug/m3)]]&gt;15,1,0)</f>
        <v>1</v>
      </c>
      <c r="I94" t="str">
        <f t="shared" si="11"/>
        <v>unsafe</v>
      </c>
      <c r="J94">
        <f>IF(AirQuality[[#This Row],[Air Quality Status]]="unsafe",J93+1,0)</f>
        <v>93</v>
      </c>
    </row>
    <row r="95" spans="1:10" x14ac:dyDescent="0.3">
      <c r="A95" s="1">
        <v>44294</v>
      </c>
      <c r="B95">
        <v>75</v>
      </c>
      <c r="C95">
        <f t="shared" si="6"/>
        <v>2021</v>
      </c>
      <c r="D95" t="str">
        <f t="shared" si="7"/>
        <v>April</v>
      </c>
      <c r="E95">
        <f t="shared" si="8"/>
        <v>4</v>
      </c>
      <c r="F95" t="str">
        <f t="shared" si="9"/>
        <v>Apr 2021</v>
      </c>
      <c r="G95" t="str">
        <f t="shared" si="10"/>
        <v>Q2</v>
      </c>
      <c r="H95">
        <f>IF(AirQuality[[#This Row],[pm25  (ug/m3)]]&gt;15,1,0)</f>
        <v>1</v>
      </c>
      <c r="I95" t="str">
        <f t="shared" si="11"/>
        <v>unsafe</v>
      </c>
      <c r="J95">
        <f>IF(AirQuality[[#This Row],[Air Quality Status]]="unsafe",J94+1,0)</f>
        <v>94</v>
      </c>
    </row>
    <row r="96" spans="1:10" x14ac:dyDescent="0.3">
      <c r="A96" s="1">
        <v>44295</v>
      </c>
      <c r="B96">
        <v>65</v>
      </c>
      <c r="C96">
        <f t="shared" si="6"/>
        <v>2021</v>
      </c>
      <c r="D96" t="str">
        <f t="shared" si="7"/>
        <v>April</v>
      </c>
      <c r="E96">
        <f t="shared" si="8"/>
        <v>4</v>
      </c>
      <c r="F96" t="str">
        <f t="shared" si="9"/>
        <v>Apr 2021</v>
      </c>
      <c r="G96" t="str">
        <f t="shared" si="10"/>
        <v>Q2</v>
      </c>
      <c r="H96">
        <f>IF(AirQuality[[#This Row],[pm25  (ug/m3)]]&gt;15,1,0)</f>
        <v>1</v>
      </c>
      <c r="I96" t="str">
        <f t="shared" si="11"/>
        <v>unsafe</v>
      </c>
      <c r="J96">
        <f>IF(AirQuality[[#This Row],[Air Quality Status]]="unsafe",J95+1,0)</f>
        <v>95</v>
      </c>
    </row>
    <row r="97" spans="1:10" x14ac:dyDescent="0.3">
      <c r="A97" s="1">
        <v>44296</v>
      </c>
      <c r="B97">
        <v>79</v>
      </c>
      <c r="C97">
        <f t="shared" si="6"/>
        <v>2021</v>
      </c>
      <c r="D97" t="str">
        <f t="shared" si="7"/>
        <v>April</v>
      </c>
      <c r="E97">
        <f t="shared" si="8"/>
        <v>4</v>
      </c>
      <c r="F97" t="str">
        <f t="shared" si="9"/>
        <v>Apr 2021</v>
      </c>
      <c r="G97" t="str">
        <f t="shared" si="10"/>
        <v>Q2</v>
      </c>
      <c r="H97">
        <f>IF(AirQuality[[#This Row],[pm25  (ug/m3)]]&gt;15,1,0)</f>
        <v>1</v>
      </c>
      <c r="I97" t="str">
        <f t="shared" si="11"/>
        <v>unsafe</v>
      </c>
      <c r="J97">
        <f>IF(AirQuality[[#This Row],[Air Quality Status]]="unsafe",J96+1,0)</f>
        <v>96</v>
      </c>
    </row>
    <row r="98" spans="1:10" x14ac:dyDescent="0.3">
      <c r="A98" s="1">
        <v>44297</v>
      </c>
      <c r="B98">
        <v>73</v>
      </c>
      <c r="C98">
        <f t="shared" si="6"/>
        <v>2021</v>
      </c>
      <c r="D98" t="str">
        <f t="shared" si="7"/>
        <v>April</v>
      </c>
      <c r="E98">
        <f t="shared" si="8"/>
        <v>4</v>
      </c>
      <c r="F98" t="str">
        <f t="shared" si="9"/>
        <v>Apr 2021</v>
      </c>
      <c r="G98" t="str">
        <f t="shared" si="10"/>
        <v>Q2</v>
      </c>
      <c r="H98">
        <f>IF(AirQuality[[#This Row],[pm25  (ug/m3)]]&gt;15,1,0)</f>
        <v>1</v>
      </c>
      <c r="I98" t="str">
        <f t="shared" si="11"/>
        <v>unsafe</v>
      </c>
      <c r="J98">
        <f>IF(AirQuality[[#This Row],[Air Quality Status]]="unsafe",J97+1,0)</f>
        <v>97</v>
      </c>
    </row>
    <row r="99" spans="1:10" x14ac:dyDescent="0.3">
      <c r="A99" s="1">
        <v>44298</v>
      </c>
      <c r="B99">
        <v>80</v>
      </c>
      <c r="C99">
        <f t="shared" si="6"/>
        <v>2021</v>
      </c>
      <c r="D99" t="str">
        <f t="shared" si="7"/>
        <v>April</v>
      </c>
      <c r="E99">
        <f t="shared" si="8"/>
        <v>4</v>
      </c>
      <c r="F99" t="str">
        <f t="shared" si="9"/>
        <v>Apr 2021</v>
      </c>
      <c r="G99" t="str">
        <f t="shared" si="10"/>
        <v>Q2</v>
      </c>
      <c r="H99">
        <f>IF(AirQuality[[#This Row],[pm25  (ug/m3)]]&gt;15,1,0)</f>
        <v>1</v>
      </c>
      <c r="I99" t="str">
        <f t="shared" si="11"/>
        <v>unsafe</v>
      </c>
      <c r="J99">
        <f>IF(AirQuality[[#This Row],[Air Quality Status]]="unsafe",J98+1,0)</f>
        <v>98</v>
      </c>
    </row>
    <row r="100" spans="1:10" x14ac:dyDescent="0.3">
      <c r="A100" s="1">
        <v>44299</v>
      </c>
      <c r="B100">
        <v>55</v>
      </c>
      <c r="C100">
        <f t="shared" si="6"/>
        <v>2021</v>
      </c>
      <c r="D100" t="str">
        <f t="shared" si="7"/>
        <v>April</v>
      </c>
      <c r="E100">
        <f t="shared" si="8"/>
        <v>4</v>
      </c>
      <c r="F100" t="str">
        <f t="shared" si="9"/>
        <v>Apr 2021</v>
      </c>
      <c r="G100" t="str">
        <f t="shared" si="10"/>
        <v>Q2</v>
      </c>
      <c r="H100">
        <f>IF(AirQuality[[#This Row],[pm25  (ug/m3)]]&gt;15,1,0)</f>
        <v>1</v>
      </c>
      <c r="I100" t="str">
        <f t="shared" si="11"/>
        <v>unsafe</v>
      </c>
      <c r="J100">
        <f>IF(AirQuality[[#This Row],[Air Quality Status]]="unsafe",J99+1,0)</f>
        <v>99</v>
      </c>
    </row>
    <row r="101" spans="1:10" x14ac:dyDescent="0.3">
      <c r="A101" s="1">
        <v>44300</v>
      </c>
      <c r="B101">
        <v>61</v>
      </c>
      <c r="C101">
        <f t="shared" si="6"/>
        <v>2021</v>
      </c>
      <c r="D101" t="str">
        <f t="shared" si="7"/>
        <v>April</v>
      </c>
      <c r="E101">
        <f t="shared" si="8"/>
        <v>4</v>
      </c>
      <c r="F101" t="str">
        <f t="shared" si="9"/>
        <v>Apr 2021</v>
      </c>
      <c r="G101" t="str">
        <f t="shared" si="10"/>
        <v>Q2</v>
      </c>
      <c r="H101">
        <f>IF(AirQuality[[#This Row],[pm25  (ug/m3)]]&gt;15,1,0)</f>
        <v>1</v>
      </c>
      <c r="I101" t="str">
        <f t="shared" si="11"/>
        <v>unsafe</v>
      </c>
      <c r="J101">
        <f>IF(AirQuality[[#This Row],[Air Quality Status]]="unsafe",J100+1,0)</f>
        <v>100</v>
      </c>
    </row>
    <row r="102" spans="1:10" x14ac:dyDescent="0.3">
      <c r="A102" s="1">
        <v>44301</v>
      </c>
      <c r="B102">
        <v>74</v>
      </c>
      <c r="C102">
        <f t="shared" si="6"/>
        <v>2021</v>
      </c>
      <c r="D102" t="str">
        <f t="shared" si="7"/>
        <v>April</v>
      </c>
      <c r="E102">
        <f t="shared" si="8"/>
        <v>4</v>
      </c>
      <c r="F102" t="str">
        <f t="shared" si="9"/>
        <v>Apr 2021</v>
      </c>
      <c r="G102" t="str">
        <f t="shared" si="10"/>
        <v>Q2</v>
      </c>
      <c r="H102">
        <f>IF(AirQuality[[#This Row],[pm25  (ug/m3)]]&gt;15,1,0)</f>
        <v>1</v>
      </c>
      <c r="I102" t="str">
        <f t="shared" si="11"/>
        <v>unsafe</v>
      </c>
      <c r="J102">
        <f>IF(AirQuality[[#This Row],[Air Quality Status]]="unsafe",J101+1,0)</f>
        <v>101</v>
      </c>
    </row>
    <row r="103" spans="1:10" x14ac:dyDescent="0.3">
      <c r="A103" s="1">
        <v>44302</v>
      </c>
      <c r="B103">
        <v>74</v>
      </c>
      <c r="C103">
        <f t="shared" si="6"/>
        <v>2021</v>
      </c>
      <c r="D103" t="str">
        <f t="shared" si="7"/>
        <v>April</v>
      </c>
      <c r="E103">
        <f t="shared" si="8"/>
        <v>4</v>
      </c>
      <c r="F103" t="str">
        <f t="shared" si="9"/>
        <v>Apr 2021</v>
      </c>
      <c r="G103" t="str">
        <f t="shared" si="10"/>
        <v>Q2</v>
      </c>
      <c r="H103">
        <f>IF(AirQuality[[#This Row],[pm25  (ug/m3)]]&gt;15,1,0)</f>
        <v>1</v>
      </c>
      <c r="I103" t="str">
        <f t="shared" si="11"/>
        <v>unsafe</v>
      </c>
      <c r="J103">
        <f>IF(AirQuality[[#This Row],[Air Quality Status]]="unsafe",J102+1,0)</f>
        <v>102</v>
      </c>
    </row>
    <row r="104" spans="1:10" x14ac:dyDescent="0.3">
      <c r="A104" s="1">
        <v>44303</v>
      </c>
      <c r="B104">
        <v>96</v>
      </c>
      <c r="C104">
        <f t="shared" si="6"/>
        <v>2021</v>
      </c>
      <c r="D104" t="str">
        <f t="shared" si="7"/>
        <v>April</v>
      </c>
      <c r="E104">
        <f t="shared" si="8"/>
        <v>4</v>
      </c>
      <c r="F104" t="str">
        <f t="shared" si="9"/>
        <v>Apr 2021</v>
      </c>
      <c r="G104" t="str">
        <f t="shared" si="10"/>
        <v>Q2</v>
      </c>
      <c r="H104">
        <f>IF(AirQuality[[#This Row],[pm25  (ug/m3)]]&gt;15,1,0)</f>
        <v>1</v>
      </c>
      <c r="I104" t="str">
        <f t="shared" si="11"/>
        <v>unsafe</v>
      </c>
      <c r="J104">
        <f>IF(AirQuality[[#This Row],[Air Quality Status]]="unsafe",J103+1,0)</f>
        <v>103</v>
      </c>
    </row>
    <row r="105" spans="1:10" x14ac:dyDescent="0.3">
      <c r="A105" s="1">
        <v>44304</v>
      </c>
      <c r="B105">
        <v>100</v>
      </c>
      <c r="C105">
        <f t="shared" si="6"/>
        <v>2021</v>
      </c>
      <c r="D105" t="str">
        <f t="shared" si="7"/>
        <v>April</v>
      </c>
      <c r="E105">
        <f t="shared" si="8"/>
        <v>4</v>
      </c>
      <c r="F105" t="str">
        <f t="shared" si="9"/>
        <v>Apr 2021</v>
      </c>
      <c r="G105" t="str">
        <f t="shared" si="10"/>
        <v>Q2</v>
      </c>
      <c r="H105">
        <f>IF(AirQuality[[#This Row],[pm25  (ug/m3)]]&gt;15,1,0)</f>
        <v>1</v>
      </c>
      <c r="I105" t="str">
        <f t="shared" si="11"/>
        <v>unsafe</v>
      </c>
      <c r="J105">
        <f>IF(AirQuality[[#This Row],[Air Quality Status]]="unsafe",J104+1,0)</f>
        <v>104</v>
      </c>
    </row>
    <row r="106" spans="1:10" x14ac:dyDescent="0.3">
      <c r="A106" s="1">
        <v>44305</v>
      </c>
      <c r="B106">
        <v>118</v>
      </c>
      <c r="C106">
        <f t="shared" si="6"/>
        <v>2021</v>
      </c>
      <c r="D106" t="str">
        <f t="shared" si="7"/>
        <v>April</v>
      </c>
      <c r="E106">
        <f t="shared" si="8"/>
        <v>4</v>
      </c>
      <c r="F106" t="str">
        <f t="shared" si="9"/>
        <v>Apr 2021</v>
      </c>
      <c r="G106" t="str">
        <f t="shared" si="10"/>
        <v>Q2</v>
      </c>
      <c r="H106">
        <f>IF(AirQuality[[#This Row],[pm25  (ug/m3)]]&gt;15,1,0)</f>
        <v>1</v>
      </c>
      <c r="I106" t="str">
        <f t="shared" si="11"/>
        <v>unsafe</v>
      </c>
      <c r="J106">
        <f>IF(AirQuality[[#This Row],[Air Quality Status]]="unsafe",J105+1,0)</f>
        <v>105</v>
      </c>
    </row>
    <row r="107" spans="1:10" x14ac:dyDescent="0.3">
      <c r="A107" s="1">
        <v>44306</v>
      </c>
      <c r="B107">
        <v>100</v>
      </c>
      <c r="C107">
        <f t="shared" si="6"/>
        <v>2021</v>
      </c>
      <c r="D107" t="str">
        <f t="shared" si="7"/>
        <v>April</v>
      </c>
      <c r="E107">
        <f t="shared" si="8"/>
        <v>4</v>
      </c>
      <c r="F107" t="str">
        <f t="shared" si="9"/>
        <v>Apr 2021</v>
      </c>
      <c r="G107" t="str">
        <f t="shared" si="10"/>
        <v>Q2</v>
      </c>
      <c r="H107">
        <f>IF(AirQuality[[#This Row],[pm25  (ug/m3)]]&gt;15,1,0)</f>
        <v>1</v>
      </c>
      <c r="I107" t="str">
        <f t="shared" si="11"/>
        <v>unsafe</v>
      </c>
      <c r="J107">
        <f>IF(AirQuality[[#This Row],[Air Quality Status]]="unsafe",J106+1,0)</f>
        <v>106</v>
      </c>
    </row>
    <row r="108" spans="1:10" x14ac:dyDescent="0.3">
      <c r="A108" s="1">
        <v>44307</v>
      </c>
      <c r="B108">
        <v>68</v>
      </c>
      <c r="C108">
        <f t="shared" si="6"/>
        <v>2021</v>
      </c>
      <c r="D108" t="str">
        <f t="shared" si="7"/>
        <v>April</v>
      </c>
      <c r="E108">
        <f t="shared" si="8"/>
        <v>4</v>
      </c>
      <c r="F108" t="str">
        <f t="shared" si="9"/>
        <v>Apr 2021</v>
      </c>
      <c r="G108" t="str">
        <f t="shared" si="10"/>
        <v>Q2</v>
      </c>
      <c r="H108">
        <f>IF(AirQuality[[#This Row],[pm25  (ug/m3)]]&gt;15,1,0)</f>
        <v>1</v>
      </c>
      <c r="I108" t="str">
        <f t="shared" si="11"/>
        <v>unsafe</v>
      </c>
      <c r="J108">
        <f>IF(AirQuality[[#This Row],[Air Quality Status]]="unsafe",J107+1,0)</f>
        <v>107</v>
      </c>
    </row>
    <row r="109" spans="1:10" x14ac:dyDescent="0.3">
      <c r="A109" s="1">
        <v>44308</v>
      </c>
      <c r="B109">
        <v>86</v>
      </c>
      <c r="C109">
        <f t="shared" si="6"/>
        <v>2021</v>
      </c>
      <c r="D109" t="str">
        <f t="shared" si="7"/>
        <v>April</v>
      </c>
      <c r="E109">
        <f t="shared" si="8"/>
        <v>4</v>
      </c>
      <c r="F109" t="str">
        <f t="shared" si="9"/>
        <v>Apr 2021</v>
      </c>
      <c r="G109" t="str">
        <f t="shared" si="10"/>
        <v>Q2</v>
      </c>
      <c r="H109">
        <f>IF(AirQuality[[#This Row],[pm25  (ug/m3)]]&gt;15,1,0)</f>
        <v>1</v>
      </c>
      <c r="I109" t="str">
        <f t="shared" si="11"/>
        <v>unsafe</v>
      </c>
      <c r="J109">
        <f>IF(AirQuality[[#This Row],[Air Quality Status]]="unsafe",J108+1,0)</f>
        <v>108</v>
      </c>
    </row>
    <row r="110" spans="1:10" x14ac:dyDescent="0.3">
      <c r="A110" s="1">
        <v>44309</v>
      </c>
      <c r="B110">
        <v>85</v>
      </c>
      <c r="C110">
        <f t="shared" si="6"/>
        <v>2021</v>
      </c>
      <c r="D110" t="str">
        <f t="shared" si="7"/>
        <v>April</v>
      </c>
      <c r="E110">
        <f t="shared" si="8"/>
        <v>4</v>
      </c>
      <c r="F110" t="str">
        <f t="shared" si="9"/>
        <v>Apr 2021</v>
      </c>
      <c r="G110" t="str">
        <f t="shared" si="10"/>
        <v>Q2</v>
      </c>
      <c r="H110">
        <f>IF(AirQuality[[#This Row],[pm25  (ug/m3)]]&gt;15,1,0)</f>
        <v>1</v>
      </c>
      <c r="I110" t="str">
        <f t="shared" si="11"/>
        <v>unsafe</v>
      </c>
      <c r="J110">
        <f>IF(AirQuality[[#This Row],[Air Quality Status]]="unsafe",J109+1,0)</f>
        <v>109</v>
      </c>
    </row>
    <row r="111" spans="1:10" x14ac:dyDescent="0.3">
      <c r="A111" s="1">
        <v>44310</v>
      </c>
      <c r="B111">
        <v>70</v>
      </c>
      <c r="C111">
        <f t="shared" si="6"/>
        <v>2021</v>
      </c>
      <c r="D111" t="str">
        <f t="shared" si="7"/>
        <v>April</v>
      </c>
      <c r="E111">
        <f t="shared" si="8"/>
        <v>4</v>
      </c>
      <c r="F111" t="str">
        <f t="shared" si="9"/>
        <v>Apr 2021</v>
      </c>
      <c r="G111" t="str">
        <f t="shared" si="10"/>
        <v>Q2</v>
      </c>
      <c r="H111">
        <f>IF(AirQuality[[#This Row],[pm25  (ug/m3)]]&gt;15,1,0)</f>
        <v>1</v>
      </c>
      <c r="I111" t="str">
        <f t="shared" si="11"/>
        <v>unsafe</v>
      </c>
      <c r="J111">
        <f>IF(AirQuality[[#This Row],[Air Quality Status]]="unsafe",J110+1,0)</f>
        <v>110</v>
      </c>
    </row>
    <row r="112" spans="1:10" x14ac:dyDescent="0.3">
      <c r="A112" s="1">
        <v>44311</v>
      </c>
      <c r="B112">
        <v>69</v>
      </c>
      <c r="C112">
        <f t="shared" si="6"/>
        <v>2021</v>
      </c>
      <c r="D112" t="str">
        <f t="shared" si="7"/>
        <v>April</v>
      </c>
      <c r="E112">
        <f t="shared" si="8"/>
        <v>4</v>
      </c>
      <c r="F112" t="str">
        <f t="shared" si="9"/>
        <v>Apr 2021</v>
      </c>
      <c r="G112" t="str">
        <f t="shared" si="10"/>
        <v>Q2</v>
      </c>
      <c r="H112">
        <f>IF(AirQuality[[#This Row],[pm25  (ug/m3)]]&gt;15,1,0)</f>
        <v>1</v>
      </c>
      <c r="I112" t="str">
        <f t="shared" si="11"/>
        <v>unsafe</v>
      </c>
      <c r="J112">
        <f>IF(AirQuality[[#This Row],[Air Quality Status]]="unsafe",J111+1,0)</f>
        <v>111</v>
      </c>
    </row>
    <row r="113" spans="1:10" x14ac:dyDescent="0.3">
      <c r="A113" s="1">
        <v>44312</v>
      </c>
      <c r="B113">
        <v>79</v>
      </c>
      <c r="C113">
        <f t="shared" si="6"/>
        <v>2021</v>
      </c>
      <c r="D113" t="str">
        <f t="shared" si="7"/>
        <v>April</v>
      </c>
      <c r="E113">
        <f t="shared" si="8"/>
        <v>4</v>
      </c>
      <c r="F113" t="str">
        <f t="shared" si="9"/>
        <v>Apr 2021</v>
      </c>
      <c r="G113" t="str">
        <f t="shared" si="10"/>
        <v>Q2</v>
      </c>
      <c r="H113">
        <f>IF(AirQuality[[#This Row],[pm25  (ug/m3)]]&gt;15,1,0)</f>
        <v>1</v>
      </c>
      <c r="I113" t="str">
        <f t="shared" si="11"/>
        <v>unsafe</v>
      </c>
      <c r="J113">
        <f>IF(AirQuality[[#This Row],[Air Quality Status]]="unsafe",J112+1,0)</f>
        <v>112</v>
      </c>
    </row>
    <row r="114" spans="1:10" x14ac:dyDescent="0.3">
      <c r="A114" s="1">
        <v>44313</v>
      </c>
      <c r="B114">
        <v>74</v>
      </c>
      <c r="C114">
        <f t="shared" si="6"/>
        <v>2021</v>
      </c>
      <c r="D114" t="str">
        <f t="shared" si="7"/>
        <v>April</v>
      </c>
      <c r="E114">
        <f t="shared" si="8"/>
        <v>4</v>
      </c>
      <c r="F114" t="str">
        <f t="shared" si="9"/>
        <v>Apr 2021</v>
      </c>
      <c r="G114" t="str">
        <f t="shared" si="10"/>
        <v>Q2</v>
      </c>
      <c r="H114">
        <f>IF(AirQuality[[#This Row],[pm25  (ug/m3)]]&gt;15,1,0)</f>
        <v>1</v>
      </c>
      <c r="I114" t="str">
        <f t="shared" si="11"/>
        <v>unsafe</v>
      </c>
      <c r="J114">
        <f>IF(AirQuality[[#This Row],[Air Quality Status]]="unsafe",J113+1,0)</f>
        <v>113</v>
      </c>
    </row>
    <row r="115" spans="1:10" x14ac:dyDescent="0.3">
      <c r="A115" s="1">
        <v>44314</v>
      </c>
      <c r="B115">
        <v>74</v>
      </c>
      <c r="C115">
        <f t="shared" si="6"/>
        <v>2021</v>
      </c>
      <c r="D115" t="str">
        <f t="shared" si="7"/>
        <v>April</v>
      </c>
      <c r="E115">
        <f t="shared" si="8"/>
        <v>4</v>
      </c>
      <c r="F115" t="str">
        <f t="shared" si="9"/>
        <v>Apr 2021</v>
      </c>
      <c r="G115" t="str">
        <f t="shared" si="10"/>
        <v>Q2</v>
      </c>
      <c r="H115">
        <f>IF(AirQuality[[#This Row],[pm25  (ug/m3)]]&gt;15,1,0)</f>
        <v>1</v>
      </c>
      <c r="I115" t="str">
        <f t="shared" si="11"/>
        <v>unsafe</v>
      </c>
      <c r="J115">
        <f>IF(AirQuality[[#This Row],[Air Quality Status]]="unsafe",J114+1,0)</f>
        <v>114</v>
      </c>
    </row>
    <row r="116" spans="1:10" x14ac:dyDescent="0.3">
      <c r="A116" s="1">
        <v>44315</v>
      </c>
      <c r="B116">
        <v>114</v>
      </c>
      <c r="C116">
        <f t="shared" si="6"/>
        <v>2021</v>
      </c>
      <c r="D116" t="str">
        <f t="shared" si="7"/>
        <v>April</v>
      </c>
      <c r="E116">
        <f t="shared" si="8"/>
        <v>4</v>
      </c>
      <c r="F116" t="str">
        <f t="shared" si="9"/>
        <v>Apr 2021</v>
      </c>
      <c r="G116" t="str">
        <f t="shared" si="10"/>
        <v>Q2</v>
      </c>
      <c r="H116">
        <f>IF(AirQuality[[#This Row],[pm25  (ug/m3)]]&gt;15,1,0)</f>
        <v>1</v>
      </c>
      <c r="I116" t="str">
        <f t="shared" si="11"/>
        <v>unsafe</v>
      </c>
      <c r="J116">
        <f>IF(AirQuality[[#This Row],[Air Quality Status]]="unsafe",J115+1,0)</f>
        <v>115</v>
      </c>
    </row>
    <row r="117" spans="1:10" x14ac:dyDescent="0.3">
      <c r="A117" s="1">
        <v>44316</v>
      </c>
      <c r="B117">
        <v>75</v>
      </c>
      <c r="C117">
        <f t="shared" si="6"/>
        <v>2021</v>
      </c>
      <c r="D117" t="str">
        <f t="shared" si="7"/>
        <v>April</v>
      </c>
      <c r="E117">
        <f t="shared" si="8"/>
        <v>4</v>
      </c>
      <c r="F117" t="str">
        <f t="shared" si="9"/>
        <v>Apr 2021</v>
      </c>
      <c r="G117" t="str">
        <f t="shared" si="10"/>
        <v>Q2</v>
      </c>
      <c r="H117">
        <f>IF(AirQuality[[#This Row],[pm25  (ug/m3)]]&gt;15,1,0)</f>
        <v>1</v>
      </c>
      <c r="I117" t="str">
        <f t="shared" si="11"/>
        <v>unsafe</v>
      </c>
      <c r="J117">
        <f>IF(AirQuality[[#This Row],[Air Quality Status]]="unsafe",J116+1,0)</f>
        <v>116</v>
      </c>
    </row>
    <row r="118" spans="1:10" x14ac:dyDescent="0.3">
      <c r="A118" s="1">
        <v>44317</v>
      </c>
      <c r="B118">
        <v>61</v>
      </c>
      <c r="C118">
        <f t="shared" si="6"/>
        <v>2021</v>
      </c>
      <c r="D118" t="str">
        <f t="shared" si="7"/>
        <v>May</v>
      </c>
      <c r="E118">
        <f t="shared" si="8"/>
        <v>5</v>
      </c>
      <c r="F118" t="str">
        <f t="shared" si="9"/>
        <v>May 2021</v>
      </c>
      <c r="G118" t="str">
        <f t="shared" si="10"/>
        <v>Q2</v>
      </c>
      <c r="H118">
        <f>IF(AirQuality[[#This Row],[pm25  (ug/m3)]]&gt;15,1,0)</f>
        <v>1</v>
      </c>
      <c r="I118" t="str">
        <f t="shared" si="11"/>
        <v>unsafe</v>
      </c>
      <c r="J118">
        <f>IF(AirQuality[[#This Row],[Air Quality Status]]="unsafe",J117+1,0)</f>
        <v>117</v>
      </c>
    </row>
    <row r="119" spans="1:10" x14ac:dyDescent="0.3">
      <c r="A119" s="1">
        <v>44318</v>
      </c>
      <c r="B119">
        <v>58</v>
      </c>
      <c r="C119">
        <f t="shared" si="6"/>
        <v>2021</v>
      </c>
      <c r="D119" t="str">
        <f t="shared" si="7"/>
        <v>May</v>
      </c>
      <c r="E119">
        <f t="shared" si="8"/>
        <v>5</v>
      </c>
      <c r="F119" t="str">
        <f t="shared" si="9"/>
        <v>May 2021</v>
      </c>
      <c r="G119" t="str">
        <f t="shared" si="10"/>
        <v>Q2</v>
      </c>
      <c r="H119">
        <f>IF(AirQuality[[#This Row],[pm25  (ug/m3)]]&gt;15,1,0)</f>
        <v>1</v>
      </c>
      <c r="I119" t="str">
        <f t="shared" si="11"/>
        <v>unsafe</v>
      </c>
      <c r="J119">
        <f>IF(AirQuality[[#This Row],[Air Quality Status]]="unsafe",J118+1,0)</f>
        <v>118</v>
      </c>
    </row>
    <row r="120" spans="1:10" x14ac:dyDescent="0.3">
      <c r="A120" s="1">
        <v>44319</v>
      </c>
      <c r="B120">
        <v>73</v>
      </c>
      <c r="C120">
        <f t="shared" si="6"/>
        <v>2021</v>
      </c>
      <c r="D120" t="str">
        <f t="shared" si="7"/>
        <v>May</v>
      </c>
      <c r="E120">
        <f t="shared" si="8"/>
        <v>5</v>
      </c>
      <c r="F120" t="str">
        <f t="shared" si="9"/>
        <v>May 2021</v>
      </c>
      <c r="G120" t="str">
        <f t="shared" si="10"/>
        <v>Q2</v>
      </c>
      <c r="H120">
        <f>IF(AirQuality[[#This Row],[pm25  (ug/m3)]]&gt;15,1,0)</f>
        <v>1</v>
      </c>
      <c r="I120" t="str">
        <f t="shared" si="11"/>
        <v>unsafe</v>
      </c>
      <c r="J120">
        <f>IF(AirQuality[[#This Row],[Air Quality Status]]="unsafe",J119+1,0)</f>
        <v>119</v>
      </c>
    </row>
    <row r="121" spans="1:10" x14ac:dyDescent="0.3">
      <c r="A121" s="1">
        <v>44320</v>
      </c>
      <c r="B121">
        <v>121</v>
      </c>
      <c r="C121">
        <f t="shared" si="6"/>
        <v>2021</v>
      </c>
      <c r="D121" t="str">
        <f t="shared" si="7"/>
        <v>May</v>
      </c>
      <c r="E121">
        <f t="shared" si="8"/>
        <v>5</v>
      </c>
      <c r="F121" t="str">
        <f t="shared" si="9"/>
        <v>May 2021</v>
      </c>
      <c r="G121" t="str">
        <f t="shared" si="10"/>
        <v>Q2</v>
      </c>
      <c r="H121">
        <f>IF(AirQuality[[#This Row],[pm25  (ug/m3)]]&gt;15,1,0)</f>
        <v>1</v>
      </c>
      <c r="I121" t="str">
        <f t="shared" si="11"/>
        <v>unsafe</v>
      </c>
      <c r="J121">
        <f>IF(AirQuality[[#This Row],[Air Quality Status]]="unsafe",J120+1,0)</f>
        <v>120</v>
      </c>
    </row>
    <row r="122" spans="1:10" x14ac:dyDescent="0.3">
      <c r="A122" s="1">
        <v>44321</v>
      </c>
      <c r="B122">
        <v>109</v>
      </c>
      <c r="C122">
        <f t="shared" si="6"/>
        <v>2021</v>
      </c>
      <c r="D122" t="str">
        <f t="shared" si="7"/>
        <v>May</v>
      </c>
      <c r="E122">
        <f t="shared" si="8"/>
        <v>5</v>
      </c>
      <c r="F122" t="str">
        <f t="shared" si="9"/>
        <v>May 2021</v>
      </c>
      <c r="G122" t="str">
        <f t="shared" si="10"/>
        <v>Q2</v>
      </c>
      <c r="H122">
        <f>IF(AirQuality[[#This Row],[pm25  (ug/m3)]]&gt;15,1,0)</f>
        <v>1</v>
      </c>
      <c r="I122" t="str">
        <f t="shared" si="11"/>
        <v>unsafe</v>
      </c>
      <c r="J122">
        <f>IF(AirQuality[[#This Row],[Air Quality Status]]="unsafe",J121+1,0)</f>
        <v>121</v>
      </c>
    </row>
    <row r="123" spans="1:10" x14ac:dyDescent="0.3">
      <c r="A123" s="1">
        <v>44322</v>
      </c>
      <c r="B123">
        <v>87</v>
      </c>
      <c r="C123">
        <f t="shared" si="6"/>
        <v>2021</v>
      </c>
      <c r="D123" t="str">
        <f t="shared" si="7"/>
        <v>May</v>
      </c>
      <c r="E123">
        <f t="shared" si="8"/>
        <v>5</v>
      </c>
      <c r="F123" t="str">
        <f t="shared" si="9"/>
        <v>May 2021</v>
      </c>
      <c r="G123" t="str">
        <f t="shared" si="10"/>
        <v>Q2</v>
      </c>
      <c r="H123">
        <f>IF(AirQuality[[#This Row],[pm25  (ug/m3)]]&gt;15,1,0)</f>
        <v>1</v>
      </c>
      <c r="I123" t="str">
        <f t="shared" si="11"/>
        <v>unsafe</v>
      </c>
      <c r="J123">
        <f>IF(AirQuality[[#This Row],[Air Quality Status]]="unsafe",J122+1,0)</f>
        <v>122</v>
      </c>
    </row>
    <row r="124" spans="1:10" x14ac:dyDescent="0.3">
      <c r="A124" s="1">
        <v>44323</v>
      </c>
      <c r="B124">
        <v>114</v>
      </c>
      <c r="C124">
        <f t="shared" si="6"/>
        <v>2021</v>
      </c>
      <c r="D124" t="str">
        <f t="shared" si="7"/>
        <v>May</v>
      </c>
      <c r="E124">
        <f t="shared" si="8"/>
        <v>5</v>
      </c>
      <c r="F124" t="str">
        <f t="shared" si="9"/>
        <v>May 2021</v>
      </c>
      <c r="G124" t="str">
        <f t="shared" si="10"/>
        <v>Q2</v>
      </c>
      <c r="H124">
        <f>IF(AirQuality[[#This Row],[pm25  (ug/m3)]]&gt;15,1,0)</f>
        <v>1</v>
      </c>
      <c r="I124" t="str">
        <f t="shared" si="11"/>
        <v>unsafe</v>
      </c>
      <c r="J124">
        <f>IF(AirQuality[[#This Row],[Air Quality Status]]="unsafe",J123+1,0)</f>
        <v>123</v>
      </c>
    </row>
    <row r="125" spans="1:10" x14ac:dyDescent="0.3">
      <c r="A125" s="1">
        <v>44324</v>
      </c>
      <c r="B125">
        <v>99</v>
      </c>
      <c r="C125">
        <f t="shared" si="6"/>
        <v>2021</v>
      </c>
      <c r="D125" t="str">
        <f t="shared" si="7"/>
        <v>May</v>
      </c>
      <c r="E125">
        <f t="shared" si="8"/>
        <v>5</v>
      </c>
      <c r="F125" t="str">
        <f t="shared" si="9"/>
        <v>May 2021</v>
      </c>
      <c r="G125" t="str">
        <f t="shared" si="10"/>
        <v>Q2</v>
      </c>
      <c r="H125">
        <f>IF(AirQuality[[#This Row],[pm25  (ug/m3)]]&gt;15,1,0)</f>
        <v>1</v>
      </c>
      <c r="I125" t="str">
        <f t="shared" si="11"/>
        <v>unsafe</v>
      </c>
      <c r="J125">
        <f>IF(AirQuality[[#This Row],[Air Quality Status]]="unsafe",J124+1,0)</f>
        <v>124</v>
      </c>
    </row>
    <row r="126" spans="1:10" x14ac:dyDescent="0.3">
      <c r="A126" s="1">
        <v>44325</v>
      </c>
      <c r="B126">
        <v>112</v>
      </c>
      <c r="C126">
        <f t="shared" si="6"/>
        <v>2021</v>
      </c>
      <c r="D126" t="str">
        <f t="shared" si="7"/>
        <v>May</v>
      </c>
      <c r="E126">
        <f t="shared" si="8"/>
        <v>5</v>
      </c>
      <c r="F126" t="str">
        <f t="shared" si="9"/>
        <v>May 2021</v>
      </c>
      <c r="G126" t="str">
        <f t="shared" si="10"/>
        <v>Q2</v>
      </c>
      <c r="H126">
        <f>IF(AirQuality[[#This Row],[pm25  (ug/m3)]]&gt;15,1,0)</f>
        <v>1</v>
      </c>
      <c r="I126" t="str">
        <f t="shared" si="11"/>
        <v>unsafe</v>
      </c>
      <c r="J126">
        <f>IF(AirQuality[[#This Row],[Air Quality Status]]="unsafe",J125+1,0)</f>
        <v>125</v>
      </c>
    </row>
    <row r="127" spans="1:10" x14ac:dyDescent="0.3">
      <c r="A127" s="1">
        <v>44326</v>
      </c>
      <c r="B127">
        <v>98</v>
      </c>
      <c r="C127">
        <f t="shared" si="6"/>
        <v>2021</v>
      </c>
      <c r="D127" t="str">
        <f t="shared" si="7"/>
        <v>May</v>
      </c>
      <c r="E127">
        <f t="shared" si="8"/>
        <v>5</v>
      </c>
      <c r="F127" t="str">
        <f t="shared" si="9"/>
        <v>May 2021</v>
      </c>
      <c r="G127" t="str">
        <f t="shared" si="10"/>
        <v>Q2</v>
      </c>
      <c r="H127">
        <f>IF(AirQuality[[#This Row],[pm25  (ug/m3)]]&gt;15,1,0)</f>
        <v>1</v>
      </c>
      <c r="I127" t="str">
        <f t="shared" si="11"/>
        <v>unsafe</v>
      </c>
      <c r="J127">
        <f>IF(AirQuality[[#This Row],[Air Quality Status]]="unsafe",J126+1,0)</f>
        <v>126</v>
      </c>
    </row>
    <row r="128" spans="1:10" x14ac:dyDescent="0.3">
      <c r="A128" s="1">
        <v>44327</v>
      </c>
      <c r="B128">
        <v>86</v>
      </c>
      <c r="C128">
        <f t="shared" si="6"/>
        <v>2021</v>
      </c>
      <c r="D128" t="str">
        <f t="shared" si="7"/>
        <v>May</v>
      </c>
      <c r="E128">
        <f t="shared" si="8"/>
        <v>5</v>
      </c>
      <c r="F128" t="str">
        <f t="shared" si="9"/>
        <v>May 2021</v>
      </c>
      <c r="G128" t="str">
        <f t="shared" si="10"/>
        <v>Q2</v>
      </c>
      <c r="H128">
        <f>IF(AirQuality[[#This Row],[pm25  (ug/m3)]]&gt;15,1,0)</f>
        <v>1</v>
      </c>
      <c r="I128" t="str">
        <f t="shared" si="11"/>
        <v>unsafe</v>
      </c>
      <c r="J128">
        <f>IF(AirQuality[[#This Row],[Air Quality Status]]="unsafe",J127+1,0)</f>
        <v>127</v>
      </c>
    </row>
    <row r="129" spans="1:10" x14ac:dyDescent="0.3">
      <c r="A129" s="1">
        <v>44328</v>
      </c>
      <c r="B129">
        <v>83</v>
      </c>
      <c r="C129">
        <f t="shared" si="6"/>
        <v>2021</v>
      </c>
      <c r="D129" t="str">
        <f t="shared" si="7"/>
        <v>May</v>
      </c>
      <c r="E129">
        <f t="shared" si="8"/>
        <v>5</v>
      </c>
      <c r="F129" t="str">
        <f t="shared" si="9"/>
        <v>May 2021</v>
      </c>
      <c r="G129" t="str">
        <f t="shared" si="10"/>
        <v>Q2</v>
      </c>
      <c r="H129">
        <f>IF(AirQuality[[#This Row],[pm25  (ug/m3)]]&gt;15,1,0)</f>
        <v>1</v>
      </c>
      <c r="I129" t="str">
        <f t="shared" si="11"/>
        <v>unsafe</v>
      </c>
      <c r="J129">
        <f>IF(AirQuality[[#This Row],[Air Quality Status]]="unsafe",J128+1,0)</f>
        <v>128</v>
      </c>
    </row>
    <row r="130" spans="1:10" x14ac:dyDescent="0.3">
      <c r="A130" s="1">
        <v>44329</v>
      </c>
      <c r="B130">
        <v>111</v>
      </c>
      <c r="C130">
        <f t="shared" ref="C130:C193" si="12">YEAR(A130)</f>
        <v>2021</v>
      </c>
      <c r="D130" t="str">
        <f t="shared" ref="D130:D193" si="13">TEXT(A130,"mmmm")</f>
        <v>May</v>
      </c>
      <c r="E130">
        <f t="shared" ref="E130:E193" si="14">MONTH(A130)</f>
        <v>5</v>
      </c>
      <c r="F130" t="str">
        <f t="shared" ref="F130:F193" si="15">TEXT(A130,"mmm yyyy")</f>
        <v>May 2021</v>
      </c>
      <c r="G130" t="str">
        <f t="shared" ref="G130:G193" si="16">"Q"&amp;ROUNDUP(MONTH(A130)/3,0)</f>
        <v>Q2</v>
      </c>
      <c r="H130">
        <f>IF(AirQuality[[#This Row],[pm25  (ug/m3)]]&gt;15,1,0)</f>
        <v>1</v>
      </c>
      <c r="I130" t="str">
        <f t="shared" ref="I130:I193" si="17">IF(B130&gt;15,"unsafe","safe")</f>
        <v>unsafe</v>
      </c>
      <c r="J130">
        <f>IF(AirQuality[[#This Row],[Air Quality Status]]="unsafe",J129+1,0)</f>
        <v>129</v>
      </c>
    </row>
    <row r="131" spans="1:10" x14ac:dyDescent="0.3">
      <c r="A131" s="1">
        <v>44330</v>
      </c>
      <c r="B131">
        <v>114</v>
      </c>
      <c r="C131">
        <f t="shared" si="12"/>
        <v>2021</v>
      </c>
      <c r="D131" t="str">
        <f t="shared" si="13"/>
        <v>May</v>
      </c>
      <c r="E131">
        <f t="shared" si="14"/>
        <v>5</v>
      </c>
      <c r="F131" t="str">
        <f t="shared" si="15"/>
        <v>May 2021</v>
      </c>
      <c r="G131" t="str">
        <f t="shared" si="16"/>
        <v>Q2</v>
      </c>
      <c r="H131">
        <f>IF(AirQuality[[#This Row],[pm25  (ug/m3)]]&gt;15,1,0)</f>
        <v>1</v>
      </c>
      <c r="I131" t="str">
        <f t="shared" si="17"/>
        <v>unsafe</v>
      </c>
      <c r="J131">
        <f>IF(AirQuality[[#This Row],[Air Quality Status]]="unsafe",J130+1,0)</f>
        <v>130</v>
      </c>
    </row>
    <row r="132" spans="1:10" x14ac:dyDescent="0.3">
      <c r="A132" s="1">
        <v>44331</v>
      </c>
      <c r="B132">
        <v>94</v>
      </c>
      <c r="C132">
        <f t="shared" si="12"/>
        <v>2021</v>
      </c>
      <c r="D132" t="str">
        <f t="shared" si="13"/>
        <v>May</v>
      </c>
      <c r="E132">
        <f t="shared" si="14"/>
        <v>5</v>
      </c>
      <c r="F132" t="str">
        <f t="shared" si="15"/>
        <v>May 2021</v>
      </c>
      <c r="G132" t="str">
        <f t="shared" si="16"/>
        <v>Q2</v>
      </c>
      <c r="H132">
        <f>IF(AirQuality[[#This Row],[pm25  (ug/m3)]]&gt;15,1,0)</f>
        <v>1</v>
      </c>
      <c r="I132" t="str">
        <f t="shared" si="17"/>
        <v>unsafe</v>
      </c>
      <c r="J132">
        <f>IF(AirQuality[[#This Row],[Air Quality Status]]="unsafe",J131+1,0)</f>
        <v>131</v>
      </c>
    </row>
    <row r="133" spans="1:10" x14ac:dyDescent="0.3">
      <c r="A133" s="1">
        <v>44332</v>
      </c>
      <c r="B133">
        <v>110</v>
      </c>
      <c r="C133">
        <f t="shared" si="12"/>
        <v>2021</v>
      </c>
      <c r="D133" t="str">
        <f t="shared" si="13"/>
        <v>May</v>
      </c>
      <c r="E133">
        <f t="shared" si="14"/>
        <v>5</v>
      </c>
      <c r="F133" t="str">
        <f t="shared" si="15"/>
        <v>May 2021</v>
      </c>
      <c r="G133" t="str">
        <f t="shared" si="16"/>
        <v>Q2</v>
      </c>
      <c r="H133">
        <f>IF(AirQuality[[#This Row],[pm25  (ug/m3)]]&gt;15,1,0)</f>
        <v>1</v>
      </c>
      <c r="I133" t="str">
        <f t="shared" si="17"/>
        <v>unsafe</v>
      </c>
      <c r="J133">
        <f>IF(AirQuality[[#This Row],[Air Quality Status]]="unsafe",J132+1,0)</f>
        <v>132</v>
      </c>
    </row>
    <row r="134" spans="1:10" x14ac:dyDescent="0.3">
      <c r="A134" s="1">
        <v>44333</v>
      </c>
      <c r="B134">
        <v>100</v>
      </c>
      <c r="C134">
        <f t="shared" si="12"/>
        <v>2021</v>
      </c>
      <c r="D134" t="str">
        <f t="shared" si="13"/>
        <v>May</v>
      </c>
      <c r="E134">
        <f t="shared" si="14"/>
        <v>5</v>
      </c>
      <c r="F134" t="str">
        <f t="shared" si="15"/>
        <v>May 2021</v>
      </c>
      <c r="G134" t="str">
        <f t="shared" si="16"/>
        <v>Q2</v>
      </c>
      <c r="H134">
        <f>IF(AirQuality[[#This Row],[pm25  (ug/m3)]]&gt;15,1,0)</f>
        <v>1</v>
      </c>
      <c r="I134" t="str">
        <f t="shared" si="17"/>
        <v>unsafe</v>
      </c>
      <c r="J134">
        <f>IF(AirQuality[[#This Row],[Air Quality Status]]="unsafe",J133+1,0)</f>
        <v>133</v>
      </c>
    </row>
    <row r="135" spans="1:10" x14ac:dyDescent="0.3">
      <c r="A135" s="1">
        <v>44334</v>
      </c>
      <c r="B135">
        <v>104</v>
      </c>
      <c r="C135">
        <f t="shared" si="12"/>
        <v>2021</v>
      </c>
      <c r="D135" t="str">
        <f t="shared" si="13"/>
        <v>May</v>
      </c>
      <c r="E135">
        <f t="shared" si="14"/>
        <v>5</v>
      </c>
      <c r="F135" t="str">
        <f t="shared" si="15"/>
        <v>May 2021</v>
      </c>
      <c r="G135" t="str">
        <f t="shared" si="16"/>
        <v>Q2</v>
      </c>
      <c r="H135">
        <f>IF(AirQuality[[#This Row],[pm25  (ug/m3)]]&gt;15,1,0)</f>
        <v>1</v>
      </c>
      <c r="I135" t="str">
        <f t="shared" si="17"/>
        <v>unsafe</v>
      </c>
      <c r="J135">
        <f>IF(AirQuality[[#This Row],[Air Quality Status]]="unsafe",J134+1,0)</f>
        <v>134</v>
      </c>
    </row>
    <row r="136" spans="1:10" x14ac:dyDescent="0.3">
      <c r="A136" s="1">
        <v>44335</v>
      </c>
      <c r="B136">
        <v>115</v>
      </c>
      <c r="C136">
        <f t="shared" si="12"/>
        <v>2021</v>
      </c>
      <c r="D136" t="str">
        <f t="shared" si="13"/>
        <v>May</v>
      </c>
      <c r="E136">
        <f t="shared" si="14"/>
        <v>5</v>
      </c>
      <c r="F136" t="str">
        <f t="shared" si="15"/>
        <v>May 2021</v>
      </c>
      <c r="G136" t="str">
        <f t="shared" si="16"/>
        <v>Q2</v>
      </c>
      <c r="H136">
        <f>IF(AirQuality[[#This Row],[pm25  (ug/m3)]]&gt;15,1,0)</f>
        <v>1</v>
      </c>
      <c r="I136" t="str">
        <f t="shared" si="17"/>
        <v>unsafe</v>
      </c>
      <c r="J136">
        <f>IF(AirQuality[[#This Row],[Air Quality Status]]="unsafe",J135+1,0)</f>
        <v>135</v>
      </c>
    </row>
    <row r="137" spans="1:10" x14ac:dyDescent="0.3">
      <c r="A137" s="1">
        <v>44336</v>
      </c>
      <c r="B137">
        <v>101</v>
      </c>
      <c r="C137">
        <f t="shared" si="12"/>
        <v>2021</v>
      </c>
      <c r="D137" t="str">
        <f t="shared" si="13"/>
        <v>May</v>
      </c>
      <c r="E137">
        <f t="shared" si="14"/>
        <v>5</v>
      </c>
      <c r="F137" t="str">
        <f t="shared" si="15"/>
        <v>May 2021</v>
      </c>
      <c r="G137" t="str">
        <f t="shared" si="16"/>
        <v>Q2</v>
      </c>
      <c r="H137">
        <f>IF(AirQuality[[#This Row],[pm25  (ug/m3)]]&gt;15,1,0)</f>
        <v>1</v>
      </c>
      <c r="I137" t="str">
        <f t="shared" si="17"/>
        <v>unsafe</v>
      </c>
      <c r="J137">
        <f>IF(AirQuality[[#This Row],[Air Quality Status]]="unsafe",J136+1,0)</f>
        <v>136</v>
      </c>
    </row>
    <row r="138" spans="1:10" x14ac:dyDescent="0.3">
      <c r="A138" s="1">
        <v>44337</v>
      </c>
      <c r="B138">
        <v>95</v>
      </c>
      <c r="C138">
        <f t="shared" si="12"/>
        <v>2021</v>
      </c>
      <c r="D138" t="str">
        <f t="shared" si="13"/>
        <v>May</v>
      </c>
      <c r="E138">
        <f t="shared" si="14"/>
        <v>5</v>
      </c>
      <c r="F138" t="str">
        <f t="shared" si="15"/>
        <v>May 2021</v>
      </c>
      <c r="G138" t="str">
        <f t="shared" si="16"/>
        <v>Q2</v>
      </c>
      <c r="H138">
        <f>IF(AirQuality[[#This Row],[pm25  (ug/m3)]]&gt;15,1,0)</f>
        <v>1</v>
      </c>
      <c r="I138" t="str">
        <f t="shared" si="17"/>
        <v>unsafe</v>
      </c>
      <c r="J138">
        <f>IF(AirQuality[[#This Row],[Air Quality Status]]="unsafe",J137+1,0)</f>
        <v>137</v>
      </c>
    </row>
    <row r="139" spans="1:10" x14ac:dyDescent="0.3">
      <c r="A139" s="1">
        <v>44338</v>
      </c>
      <c r="B139">
        <v>116</v>
      </c>
      <c r="C139">
        <f t="shared" si="12"/>
        <v>2021</v>
      </c>
      <c r="D139" t="str">
        <f t="shared" si="13"/>
        <v>May</v>
      </c>
      <c r="E139">
        <f t="shared" si="14"/>
        <v>5</v>
      </c>
      <c r="F139" t="str">
        <f t="shared" si="15"/>
        <v>May 2021</v>
      </c>
      <c r="G139" t="str">
        <f t="shared" si="16"/>
        <v>Q2</v>
      </c>
      <c r="H139">
        <f>IF(AirQuality[[#This Row],[pm25  (ug/m3)]]&gt;15,1,0)</f>
        <v>1</v>
      </c>
      <c r="I139" t="str">
        <f t="shared" si="17"/>
        <v>unsafe</v>
      </c>
      <c r="J139">
        <f>IF(AirQuality[[#This Row],[Air Quality Status]]="unsafe",J138+1,0)</f>
        <v>138</v>
      </c>
    </row>
    <row r="140" spans="1:10" x14ac:dyDescent="0.3">
      <c r="A140" s="1">
        <v>44339</v>
      </c>
      <c r="B140">
        <v>121</v>
      </c>
      <c r="C140">
        <f t="shared" si="12"/>
        <v>2021</v>
      </c>
      <c r="D140" t="str">
        <f t="shared" si="13"/>
        <v>May</v>
      </c>
      <c r="E140">
        <f t="shared" si="14"/>
        <v>5</v>
      </c>
      <c r="F140" t="str">
        <f t="shared" si="15"/>
        <v>May 2021</v>
      </c>
      <c r="G140" t="str">
        <f t="shared" si="16"/>
        <v>Q2</v>
      </c>
      <c r="H140">
        <f>IF(AirQuality[[#This Row],[pm25  (ug/m3)]]&gt;15,1,0)</f>
        <v>1</v>
      </c>
      <c r="I140" t="str">
        <f t="shared" si="17"/>
        <v>unsafe</v>
      </c>
      <c r="J140">
        <f>IF(AirQuality[[#This Row],[Air Quality Status]]="unsafe",J139+1,0)</f>
        <v>139</v>
      </c>
    </row>
    <row r="141" spans="1:10" x14ac:dyDescent="0.3">
      <c r="A141" s="1">
        <v>44340</v>
      </c>
      <c r="B141">
        <v>102</v>
      </c>
      <c r="C141">
        <f t="shared" si="12"/>
        <v>2021</v>
      </c>
      <c r="D141" t="str">
        <f t="shared" si="13"/>
        <v>May</v>
      </c>
      <c r="E141">
        <f t="shared" si="14"/>
        <v>5</v>
      </c>
      <c r="F141" t="str">
        <f t="shared" si="15"/>
        <v>May 2021</v>
      </c>
      <c r="G141" t="str">
        <f t="shared" si="16"/>
        <v>Q2</v>
      </c>
      <c r="H141">
        <f>IF(AirQuality[[#This Row],[pm25  (ug/m3)]]&gt;15,1,0)</f>
        <v>1</v>
      </c>
      <c r="I141" t="str">
        <f t="shared" si="17"/>
        <v>unsafe</v>
      </c>
      <c r="J141">
        <f>IF(AirQuality[[#This Row],[Air Quality Status]]="unsafe",J140+1,0)</f>
        <v>140</v>
      </c>
    </row>
    <row r="142" spans="1:10" x14ac:dyDescent="0.3">
      <c r="A142" s="1">
        <v>44341</v>
      </c>
      <c r="B142">
        <v>111</v>
      </c>
      <c r="C142">
        <f t="shared" si="12"/>
        <v>2021</v>
      </c>
      <c r="D142" t="str">
        <f t="shared" si="13"/>
        <v>May</v>
      </c>
      <c r="E142">
        <f t="shared" si="14"/>
        <v>5</v>
      </c>
      <c r="F142" t="str">
        <f t="shared" si="15"/>
        <v>May 2021</v>
      </c>
      <c r="G142" t="str">
        <f t="shared" si="16"/>
        <v>Q2</v>
      </c>
      <c r="H142">
        <f>IF(AirQuality[[#This Row],[pm25  (ug/m3)]]&gt;15,1,0)</f>
        <v>1</v>
      </c>
      <c r="I142" t="str">
        <f t="shared" si="17"/>
        <v>unsafe</v>
      </c>
      <c r="J142">
        <f>IF(AirQuality[[#This Row],[Air Quality Status]]="unsafe",J141+1,0)</f>
        <v>141</v>
      </c>
    </row>
    <row r="143" spans="1:10" x14ac:dyDescent="0.3">
      <c r="A143" s="1">
        <v>44342</v>
      </c>
      <c r="B143">
        <v>113</v>
      </c>
      <c r="C143">
        <f t="shared" si="12"/>
        <v>2021</v>
      </c>
      <c r="D143" t="str">
        <f t="shared" si="13"/>
        <v>May</v>
      </c>
      <c r="E143">
        <f t="shared" si="14"/>
        <v>5</v>
      </c>
      <c r="F143" t="str">
        <f t="shared" si="15"/>
        <v>May 2021</v>
      </c>
      <c r="G143" t="str">
        <f t="shared" si="16"/>
        <v>Q2</v>
      </c>
      <c r="H143">
        <f>IF(AirQuality[[#This Row],[pm25  (ug/m3)]]&gt;15,1,0)</f>
        <v>1</v>
      </c>
      <c r="I143" t="str">
        <f t="shared" si="17"/>
        <v>unsafe</v>
      </c>
      <c r="J143">
        <f>IF(AirQuality[[#This Row],[Air Quality Status]]="unsafe",J142+1,0)</f>
        <v>142</v>
      </c>
    </row>
    <row r="144" spans="1:10" x14ac:dyDescent="0.3">
      <c r="A144" s="1">
        <v>44343</v>
      </c>
      <c r="B144">
        <v>115</v>
      </c>
      <c r="C144">
        <f t="shared" si="12"/>
        <v>2021</v>
      </c>
      <c r="D144" t="str">
        <f t="shared" si="13"/>
        <v>May</v>
      </c>
      <c r="E144">
        <f t="shared" si="14"/>
        <v>5</v>
      </c>
      <c r="F144" t="str">
        <f t="shared" si="15"/>
        <v>May 2021</v>
      </c>
      <c r="G144" t="str">
        <f t="shared" si="16"/>
        <v>Q2</v>
      </c>
      <c r="H144">
        <f>IF(AirQuality[[#This Row],[pm25  (ug/m3)]]&gt;15,1,0)</f>
        <v>1</v>
      </c>
      <c r="I144" t="str">
        <f t="shared" si="17"/>
        <v>unsafe</v>
      </c>
      <c r="J144">
        <f>IF(AirQuality[[#This Row],[Air Quality Status]]="unsafe",J143+1,0)</f>
        <v>143</v>
      </c>
    </row>
    <row r="145" spans="1:10" x14ac:dyDescent="0.3">
      <c r="A145" s="1">
        <v>44344</v>
      </c>
      <c r="B145">
        <v>113</v>
      </c>
      <c r="C145">
        <f t="shared" si="12"/>
        <v>2021</v>
      </c>
      <c r="D145" t="str">
        <f t="shared" si="13"/>
        <v>May</v>
      </c>
      <c r="E145">
        <f t="shared" si="14"/>
        <v>5</v>
      </c>
      <c r="F145" t="str">
        <f t="shared" si="15"/>
        <v>May 2021</v>
      </c>
      <c r="G145" t="str">
        <f t="shared" si="16"/>
        <v>Q2</v>
      </c>
      <c r="H145">
        <f>IF(AirQuality[[#This Row],[pm25  (ug/m3)]]&gt;15,1,0)</f>
        <v>1</v>
      </c>
      <c r="I145" t="str">
        <f t="shared" si="17"/>
        <v>unsafe</v>
      </c>
      <c r="J145">
        <f>IF(AirQuality[[#This Row],[Air Quality Status]]="unsafe",J144+1,0)</f>
        <v>144</v>
      </c>
    </row>
    <row r="146" spans="1:10" x14ac:dyDescent="0.3">
      <c r="A146" s="1">
        <v>44345</v>
      </c>
      <c r="B146">
        <v>115</v>
      </c>
      <c r="C146">
        <f t="shared" si="12"/>
        <v>2021</v>
      </c>
      <c r="D146" t="str">
        <f t="shared" si="13"/>
        <v>May</v>
      </c>
      <c r="E146">
        <f t="shared" si="14"/>
        <v>5</v>
      </c>
      <c r="F146" t="str">
        <f t="shared" si="15"/>
        <v>May 2021</v>
      </c>
      <c r="G146" t="str">
        <f t="shared" si="16"/>
        <v>Q2</v>
      </c>
      <c r="H146">
        <f>IF(AirQuality[[#This Row],[pm25  (ug/m3)]]&gt;15,1,0)</f>
        <v>1</v>
      </c>
      <c r="I146" t="str">
        <f t="shared" si="17"/>
        <v>unsafe</v>
      </c>
      <c r="J146">
        <f>IF(AirQuality[[#This Row],[Air Quality Status]]="unsafe",J145+1,0)</f>
        <v>145</v>
      </c>
    </row>
    <row r="147" spans="1:10" x14ac:dyDescent="0.3">
      <c r="A147" s="1">
        <v>44346</v>
      </c>
      <c r="B147">
        <v>123</v>
      </c>
      <c r="C147">
        <f t="shared" si="12"/>
        <v>2021</v>
      </c>
      <c r="D147" t="str">
        <f t="shared" si="13"/>
        <v>May</v>
      </c>
      <c r="E147">
        <f t="shared" si="14"/>
        <v>5</v>
      </c>
      <c r="F147" t="str">
        <f t="shared" si="15"/>
        <v>May 2021</v>
      </c>
      <c r="G147" t="str">
        <f t="shared" si="16"/>
        <v>Q2</v>
      </c>
      <c r="H147">
        <f>IF(AirQuality[[#This Row],[pm25  (ug/m3)]]&gt;15,1,0)</f>
        <v>1</v>
      </c>
      <c r="I147" t="str">
        <f t="shared" si="17"/>
        <v>unsafe</v>
      </c>
      <c r="J147">
        <f>IF(AirQuality[[#This Row],[Air Quality Status]]="unsafe",J146+1,0)</f>
        <v>146</v>
      </c>
    </row>
    <row r="148" spans="1:10" x14ac:dyDescent="0.3">
      <c r="A148" s="1">
        <v>44347</v>
      </c>
      <c r="B148">
        <v>132</v>
      </c>
      <c r="C148">
        <f t="shared" si="12"/>
        <v>2021</v>
      </c>
      <c r="D148" t="str">
        <f t="shared" si="13"/>
        <v>May</v>
      </c>
      <c r="E148">
        <f t="shared" si="14"/>
        <v>5</v>
      </c>
      <c r="F148" t="str">
        <f t="shared" si="15"/>
        <v>May 2021</v>
      </c>
      <c r="G148" t="str">
        <f t="shared" si="16"/>
        <v>Q2</v>
      </c>
      <c r="H148">
        <f>IF(AirQuality[[#This Row],[pm25  (ug/m3)]]&gt;15,1,0)</f>
        <v>1</v>
      </c>
      <c r="I148" t="str">
        <f t="shared" si="17"/>
        <v>unsafe</v>
      </c>
      <c r="J148">
        <f>IF(AirQuality[[#This Row],[Air Quality Status]]="unsafe",J147+1,0)</f>
        <v>147</v>
      </c>
    </row>
    <row r="149" spans="1:10" x14ac:dyDescent="0.3">
      <c r="A149" s="1">
        <v>44348</v>
      </c>
      <c r="B149">
        <v>131</v>
      </c>
      <c r="C149">
        <f t="shared" si="12"/>
        <v>2021</v>
      </c>
      <c r="D149" t="str">
        <f t="shared" si="13"/>
        <v>June</v>
      </c>
      <c r="E149">
        <f t="shared" si="14"/>
        <v>6</v>
      </c>
      <c r="F149" t="str">
        <f t="shared" si="15"/>
        <v>Jun 2021</v>
      </c>
      <c r="G149" t="str">
        <f t="shared" si="16"/>
        <v>Q2</v>
      </c>
      <c r="H149">
        <f>IF(AirQuality[[#This Row],[pm25  (ug/m3)]]&gt;15,1,0)</f>
        <v>1</v>
      </c>
      <c r="I149" t="str">
        <f t="shared" si="17"/>
        <v>unsafe</v>
      </c>
      <c r="J149">
        <f>IF(AirQuality[[#This Row],[Air Quality Status]]="unsafe",J148+1,0)</f>
        <v>148</v>
      </c>
    </row>
    <row r="150" spans="1:10" x14ac:dyDescent="0.3">
      <c r="A150" s="1">
        <v>44349</v>
      </c>
      <c r="B150">
        <v>147</v>
      </c>
      <c r="C150">
        <f t="shared" si="12"/>
        <v>2021</v>
      </c>
      <c r="D150" t="str">
        <f t="shared" si="13"/>
        <v>June</v>
      </c>
      <c r="E150">
        <f t="shared" si="14"/>
        <v>6</v>
      </c>
      <c r="F150" t="str">
        <f t="shared" si="15"/>
        <v>Jun 2021</v>
      </c>
      <c r="G150" t="str">
        <f t="shared" si="16"/>
        <v>Q2</v>
      </c>
      <c r="H150">
        <f>IF(AirQuality[[#This Row],[pm25  (ug/m3)]]&gt;15,1,0)</f>
        <v>1</v>
      </c>
      <c r="I150" t="str">
        <f t="shared" si="17"/>
        <v>unsafe</v>
      </c>
      <c r="J150">
        <f>IF(AirQuality[[#This Row],[Air Quality Status]]="unsafe",J149+1,0)</f>
        <v>149</v>
      </c>
    </row>
    <row r="151" spans="1:10" x14ac:dyDescent="0.3">
      <c r="A151" s="1">
        <v>44350</v>
      </c>
      <c r="B151">
        <v>129</v>
      </c>
      <c r="C151">
        <f t="shared" si="12"/>
        <v>2021</v>
      </c>
      <c r="D151" t="str">
        <f t="shared" si="13"/>
        <v>June</v>
      </c>
      <c r="E151">
        <f t="shared" si="14"/>
        <v>6</v>
      </c>
      <c r="F151" t="str">
        <f t="shared" si="15"/>
        <v>Jun 2021</v>
      </c>
      <c r="G151" t="str">
        <f t="shared" si="16"/>
        <v>Q2</v>
      </c>
      <c r="H151">
        <f>IF(AirQuality[[#This Row],[pm25  (ug/m3)]]&gt;15,1,0)</f>
        <v>1</v>
      </c>
      <c r="I151" t="str">
        <f t="shared" si="17"/>
        <v>unsafe</v>
      </c>
      <c r="J151">
        <f>IF(AirQuality[[#This Row],[Air Quality Status]]="unsafe",J150+1,0)</f>
        <v>150</v>
      </c>
    </row>
    <row r="152" spans="1:10" x14ac:dyDescent="0.3">
      <c r="A152" s="1">
        <v>44351</v>
      </c>
      <c r="B152">
        <v>135</v>
      </c>
      <c r="C152">
        <f t="shared" si="12"/>
        <v>2021</v>
      </c>
      <c r="D152" t="str">
        <f t="shared" si="13"/>
        <v>June</v>
      </c>
      <c r="E152">
        <f t="shared" si="14"/>
        <v>6</v>
      </c>
      <c r="F152" t="str">
        <f t="shared" si="15"/>
        <v>Jun 2021</v>
      </c>
      <c r="G152" t="str">
        <f t="shared" si="16"/>
        <v>Q2</v>
      </c>
      <c r="H152">
        <f>IF(AirQuality[[#This Row],[pm25  (ug/m3)]]&gt;15,1,0)</f>
        <v>1</v>
      </c>
      <c r="I152" t="str">
        <f t="shared" si="17"/>
        <v>unsafe</v>
      </c>
      <c r="J152">
        <f>IF(AirQuality[[#This Row],[Air Quality Status]]="unsafe",J151+1,0)</f>
        <v>151</v>
      </c>
    </row>
    <row r="153" spans="1:10" x14ac:dyDescent="0.3">
      <c r="A153" s="1">
        <v>44352</v>
      </c>
      <c r="B153">
        <v>139</v>
      </c>
      <c r="C153">
        <f t="shared" si="12"/>
        <v>2021</v>
      </c>
      <c r="D153" t="str">
        <f t="shared" si="13"/>
        <v>June</v>
      </c>
      <c r="E153">
        <f t="shared" si="14"/>
        <v>6</v>
      </c>
      <c r="F153" t="str">
        <f t="shared" si="15"/>
        <v>Jun 2021</v>
      </c>
      <c r="G153" t="str">
        <f t="shared" si="16"/>
        <v>Q2</v>
      </c>
      <c r="H153">
        <f>IF(AirQuality[[#This Row],[pm25  (ug/m3)]]&gt;15,1,0)</f>
        <v>1</v>
      </c>
      <c r="I153" t="str">
        <f t="shared" si="17"/>
        <v>unsafe</v>
      </c>
      <c r="J153">
        <f>IF(AirQuality[[#This Row],[Air Quality Status]]="unsafe",J152+1,0)</f>
        <v>152</v>
      </c>
    </row>
    <row r="154" spans="1:10" x14ac:dyDescent="0.3">
      <c r="A154" s="1">
        <v>44353</v>
      </c>
      <c r="B154">
        <v>134</v>
      </c>
      <c r="C154">
        <f t="shared" si="12"/>
        <v>2021</v>
      </c>
      <c r="D154" t="str">
        <f t="shared" si="13"/>
        <v>June</v>
      </c>
      <c r="E154">
        <f t="shared" si="14"/>
        <v>6</v>
      </c>
      <c r="F154" t="str">
        <f t="shared" si="15"/>
        <v>Jun 2021</v>
      </c>
      <c r="G154" t="str">
        <f t="shared" si="16"/>
        <v>Q2</v>
      </c>
      <c r="H154">
        <f>IF(AirQuality[[#This Row],[pm25  (ug/m3)]]&gt;15,1,0)</f>
        <v>1</v>
      </c>
      <c r="I154" t="str">
        <f t="shared" si="17"/>
        <v>unsafe</v>
      </c>
      <c r="J154">
        <f>IF(AirQuality[[#This Row],[Air Quality Status]]="unsafe",J153+1,0)</f>
        <v>153</v>
      </c>
    </row>
    <row r="155" spans="1:10" x14ac:dyDescent="0.3">
      <c r="A155" s="1">
        <v>44354</v>
      </c>
      <c r="B155">
        <v>141</v>
      </c>
      <c r="C155">
        <f t="shared" si="12"/>
        <v>2021</v>
      </c>
      <c r="D155" t="str">
        <f t="shared" si="13"/>
        <v>June</v>
      </c>
      <c r="E155">
        <f t="shared" si="14"/>
        <v>6</v>
      </c>
      <c r="F155" t="str">
        <f t="shared" si="15"/>
        <v>Jun 2021</v>
      </c>
      <c r="G155" t="str">
        <f t="shared" si="16"/>
        <v>Q2</v>
      </c>
      <c r="H155">
        <f>IF(AirQuality[[#This Row],[pm25  (ug/m3)]]&gt;15,1,0)</f>
        <v>1</v>
      </c>
      <c r="I155" t="str">
        <f t="shared" si="17"/>
        <v>unsafe</v>
      </c>
      <c r="J155">
        <f>IF(AirQuality[[#This Row],[Air Quality Status]]="unsafe",J154+1,0)</f>
        <v>154</v>
      </c>
    </row>
    <row r="156" spans="1:10" x14ac:dyDescent="0.3">
      <c r="A156" s="1">
        <v>44355</v>
      </c>
      <c r="B156">
        <v>148</v>
      </c>
      <c r="C156">
        <f t="shared" si="12"/>
        <v>2021</v>
      </c>
      <c r="D156" t="str">
        <f t="shared" si="13"/>
        <v>June</v>
      </c>
      <c r="E156">
        <f t="shared" si="14"/>
        <v>6</v>
      </c>
      <c r="F156" t="str">
        <f t="shared" si="15"/>
        <v>Jun 2021</v>
      </c>
      <c r="G156" t="str">
        <f t="shared" si="16"/>
        <v>Q2</v>
      </c>
      <c r="H156">
        <f>IF(AirQuality[[#This Row],[pm25  (ug/m3)]]&gt;15,1,0)</f>
        <v>1</v>
      </c>
      <c r="I156" t="str">
        <f t="shared" si="17"/>
        <v>unsafe</v>
      </c>
      <c r="J156">
        <f>IF(AirQuality[[#This Row],[Air Quality Status]]="unsafe",J155+1,0)</f>
        <v>155</v>
      </c>
    </row>
    <row r="157" spans="1:10" x14ac:dyDescent="0.3">
      <c r="A157" s="1">
        <v>44356</v>
      </c>
      <c r="B157">
        <v>148</v>
      </c>
      <c r="C157">
        <f t="shared" si="12"/>
        <v>2021</v>
      </c>
      <c r="D157" t="str">
        <f t="shared" si="13"/>
        <v>June</v>
      </c>
      <c r="E157">
        <f t="shared" si="14"/>
        <v>6</v>
      </c>
      <c r="F157" t="str">
        <f t="shared" si="15"/>
        <v>Jun 2021</v>
      </c>
      <c r="G157" t="str">
        <f t="shared" si="16"/>
        <v>Q2</v>
      </c>
      <c r="H157">
        <f>IF(AirQuality[[#This Row],[pm25  (ug/m3)]]&gt;15,1,0)</f>
        <v>1</v>
      </c>
      <c r="I157" t="str">
        <f t="shared" si="17"/>
        <v>unsafe</v>
      </c>
      <c r="J157">
        <f>IF(AirQuality[[#This Row],[Air Quality Status]]="unsafe",J156+1,0)</f>
        <v>156</v>
      </c>
    </row>
    <row r="158" spans="1:10" x14ac:dyDescent="0.3">
      <c r="A158" s="1">
        <v>44357</v>
      </c>
      <c r="B158">
        <v>146</v>
      </c>
      <c r="C158">
        <f t="shared" si="12"/>
        <v>2021</v>
      </c>
      <c r="D158" t="str">
        <f t="shared" si="13"/>
        <v>June</v>
      </c>
      <c r="E158">
        <f t="shared" si="14"/>
        <v>6</v>
      </c>
      <c r="F158" t="str">
        <f t="shared" si="15"/>
        <v>Jun 2021</v>
      </c>
      <c r="G158" t="str">
        <f t="shared" si="16"/>
        <v>Q2</v>
      </c>
      <c r="H158">
        <f>IF(AirQuality[[#This Row],[pm25  (ug/m3)]]&gt;15,1,0)</f>
        <v>1</v>
      </c>
      <c r="I158" t="str">
        <f t="shared" si="17"/>
        <v>unsafe</v>
      </c>
      <c r="J158">
        <f>IF(AirQuality[[#This Row],[Air Quality Status]]="unsafe",J157+1,0)</f>
        <v>157</v>
      </c>
    </row>
    <row r="159" spans="1:10" x14ac:dyDescent="0.3">
      <c r="A159" s="1">
        <v>44358</v>
      </c>
      <c r="B159">
        <v>158</v>
      </c>
      <c r="C159">
        <f t="shared" si="12"/>
        <v>2021</v>
      </c>
      <c r="D159" t="str">
        <f t="shared" si="13"/>
        <v>June</v>
      </c>
      <c r="E159">
        <f t="shared" si="14"/>
        <v>6</v>
      </c>
      <c r="F159" t="str">
        <f t="shared" si="15"/>
        <v>Jun 2021</v>
      </c>
      <c r="G159" t="str">
        <f t="shared" si="16"/>
        <v>Q2</v>
      </c>
      <c r="H159">
        <f>IF(AirQuality[[#This Row],[pm25  (ug/m3)]]&gt;15,1,0)</f>
        <v>1</v>
      </c>
      <c r="I159" t="str">
        <f t="shared" si="17"/>
        <v>unsafe</v>
      </c>
      <c r="J159">
        <f>IF(AirQuality[[#This Row],[Air Quality Status]]="unsafe",J158+1,0)</f>
        <v>158</v>
      </c>
    </row>
    <row r="160" spans="1:10" x14ac:dyDescent="0.3">
      <c r="A160" s="1">
        <v>44362</v>
      </c>
      <c r="B160">
        <v>148</v>
      </c>
      <c r="C160">
        <f t="shared" si="12"/>
        <v>2021</v>
      </c>
      <c r="D160" t="str">
        <f t="shared" si="13"/>
        <v>June</v>
      </c>
      <c r="E160">
        <f t="shared" si="14"/>
        <v>6</v>
      </c>
      <c r="F160" t="str">
        <f t="shared" si="15"/>
        <v>Jun 2021</v>
      </c>
      <c r="G160" t="str">
        <f t="shared" si="16"/>
        <v>Q2</v>
      </c>
      <c r="H160">
        <f>IF(AirQuality[[#This Row],[pm25  (ug/m3)]]&gt;15,1,0)</f>
        <v>1</v>
      </c>
      <c r="I160" t="str">
        <f t="shared" si="17"/>
        <v>unsafe</v>
      </c>
      <c r="J160">
        <f>IF(AirQuality[[#This Row],[Air Quality Status]]="unsafe",J159+1,0)</f>
        <v>159</v>
      </c>
    </row>
    <row r="161" spans="1:10" x14ac:dyDescent="0.3">
      <c r="A161" s="1">
        <v>44363</v>
      </c>
      <c r="B161">
        <v>149</v>
      </c>
      <c r="C161">
        <f t="shared" si="12"/>
        <v>2021</v>
      </c>
      <c r="D161" t="str">
        <f t="shared" si="13"/>
        <v>June</v>
      </c>
      <c r="E161">
        <f t="shared" si="14"/>
        <v>6</v>
      </c>
      <c r="F161" t="str">
        <f t="shared" si="15"/>
        <v>Jun 2021</v>
      </c>
      <c r="G161" t="str">
        <f t="shared" si="16"/>
        <v>Q2</v>
      </c>
      <c r="H161">
        <f>IF(AirQuality[[#This Row],[pm25  (ug/m3)]]&gt;15,1,0)</f>
        <v>1</v>
      </c>
      <c r="I161" t="str">
        <f t="shared" si="17"/>
        <v>unsafe</v>
      </c>
      <c r="J161">
        <f>IF(AirQuality[[#This Row],[Air Quality Status]]="unsafe",J160+1,0)</f>
        <v>160</v>
      </c>
    </row>
    <row r="162" spans="1:10" x14ac:dyDescent="0.3">
      <c r="A162" s="1">
        <v>44364</v>
      </c>
      <c r="B162">
        <v>148</v>
      </c>
      <c r="C162">
        <f t="shared" si="12"/>
        <v>2021</v>
      </c>
      <c r="D162" t="str">
        <f t="shared" si="13"/>
        <v>June</v>
      </c>
      <c r="E162">
        <f t="shared" si="14"/>
        <v>6</v>
      </c>
      <c r="F162" t="str">
        <f t="shared" si="15"/>
        <v>Jun 2021</v>
      </c>
      <c r="G162" t="str">
        <f t="shared" si="16"/>
        <v>Q2</v>
      </c>
      <c r="H162">
        <f>IF(AirQuality[[#This Row],[pm25  (ug/m3)]]&gt;15,1,0)</f>
        <v>1</v>
      </c>
      <c r="I162" t="str">
        <f t="shared" si="17"/>
        <v>unsafe</v>
      </c>
      <c r="J162">
        <f>IF(AirQuality[[#This Row],[Air Quality Status]]="unsafe",J161+1,0)</f>
        <v>161</v>
      </c>
    </row>
    <row r="163" spans="1:10" x14ac:dyDescent="0.3">
      <c r="A163" s="1">
        <v>44365</v>
      </c>
      <c r="B163">
        <v>147</v>
      </c>
      <c r="C163">
        <f t="shared" si="12"/>
        <v>2021</v>
      </c>
      <c r="D163" t="str">
        <f t="shared" si="13"/>
        <v>June</v>
      </c>
      <c r="E163">
        <f t="shared" si="14"/>
        <v>6</v>
      </c>
      <c r="F163" t="str">
        <f t="shared" si="15"/>
        <v>Jun 2021</v>
      </c>
      <c r="G163" t="str">
        <f t="shared" si="16"/>
        <v>Q2</v>
      </c>
      <c r="H163">
        <f>IF(AirQuality[[#This Row],[pm25  (ug/m3)]]&gt;15,1,0)</f>
        <v>1</v>
      </c>
      <c r="I163" t="str">
        <f t="shared" si="17"/>
        <v>unsafe</v>
      </c>
      <c r="J163">
        <f>IF(AirQuality[[#This Row],[Air Quality Status]]="unsafe",J162+1,0)</f>
        <v>162</v>
      </c>
    </row>
    <row r="164" spans="1:10" x14ac:dyDescent="0.3">
      <c r="A164" s="1">
        <v>44366</v>
      </c>
      <c r="B164">
        <v>148</v>
      </c>
      <c r="C164">
        <f t="shared" si="12"/>
        <v>2021</v>
      </c>
      <c r="D164" t="str">
        <f t="shared" si="13"/>
        <v>June</v>
      </c>
      <c r="E164">
        <f t="shared" si="14"/>
        <v>6</v>
      </c>
      <c r="F164" t="str">
        <f t="shared" si="15"/>
        <v>Jun 2021</v>
      </c>
      <c r="G164" t="str">
        <f t="shared" si="16"/>
        <v>Q2</v>
      </c>
      <c r="H164">
        <f>IF(AirQuality[[#This Row],[pm25  (ug/m3)]]&gt;15,1,0)</f>
        <v>1</v>
      </c>
      <c r="I164" t="str">
        <f t="shared" si="17"/>
        <v>unsafe</v>
      </c>
      <c r="J164">
        <f>IF(AirQuality[[#This Row],[Air Quality Status]]="unsafe",J163+1,0)</f>
        <v>163</v>
      </c>
    </row>
    <row r="165" spans="1:10" x14ac:dyDescent="0.3">
      <c r="A165" s="1">
        <v>44367</v>
      </c>
      <c r="B165">
        <v>145</v>
      </c>
      <c r="C165">
        <f t="shared" si="12"/>
        <v>2021</v>
      </c>
      <c r="D165" t="str">
        <f t="shared" si="13"/>
        <v>June</v>
      </c>
      <c r="E165">
        <f t="shared" si="14"/>
        <v>6</v>
      </c>
      <c r="F165" t="str">
        <f t="shared" si="15"/>
        <v>Jun 2021</v>
      </c>
      <c r="G165" t="str">
        <f t="shared" si="16"/>
        <v>Q2</v>
      </c>
      <c r="H165">
        <f>IF(AirQuality[[#This Row],[pm25  (ug/m3)]]&gt;15,1,0)</f>
        <v>1</v>
      </c>
      <c r="I165" t="str">
        <f t="shared" si="17"/>
        <v>unsafe</v>
      </c>
      <c r="J165">
        <f>IF(AirQuality[[#This Row],[Air Quality Status]]="unsafe",J164+1,0)</f>
        <v>164</v>
      </c>
    </row>
    <row r="166" spans="1:10" x14ac:dyDescent="0.3">
      <c r="A166" s="1">
        <v>44368</v>
      </c>
      <c r="B166">
        <v>56</v>
      </c>
      <c r="C166">
        <f t="shared" si="12"/>
        <v>2021</v>
      </c>
      <c r="D166" t="str">
        <f t="shared" si="13"/>
        <v>June</v>
      </c>
      <c r="E166">
        <f t="shared" si="14"/>
        <v>6</v>
      </c>
      <c r="F166" t="str">
        <f t="shared" si="15"/>
        <v>Jun 2021</v>
      </c>
      <c r="G166" t="str">
        <f t="shared" si="16"/>
        <v>Q2</v>
      </c>
      <c r="H166">
        <f>IF(AirQuality[[#This Row],[pm25  (ug/m3)]]&gt;15,1,0)</f>
        <v>1</v>
      </c>
      <c r="I166" t="str">
        <f t="shared" si="17"/>
        <v>unsafe</v>
      </c>
      <c r="J166">
        <f>IF(AirQuality[[#This Row],[Air Quality Status]]="unsafe",J165+1,0)</f>
        <v>165</v>
      </c>
    </row>
    <row r="167" spans="1:10" x14ac:dyDescent="0.3">
      <c r="A167" s="1">
        <v>44369</v>
      </c>
      <c r="B167">
        <v>103</v>
      </c>
      <c r="C167">
        <f t="shared" si="12"/>
        <v>2021</v>
      </c>
      <c r="D167" t="str">
        <f t="shared" si="13"/>
        <v>June</v>
      </c>
      <c r="E167">
        <f t="shared" si="14"/>
        <v>6</v>
      </c>
      <c r="F167" t="str">
        <f t="shared" si="15"/>
        <v>Jun 2021</v>
      </c>
      <c r="G167" t="str">
        <f t="shared" si="16"/>
        <v>Q2</v>
      </c>
      <c r="H167">
        <f>IF(AirQuality[[#This Row],[pm25  (ug/m3)]]&gt;15,1,0)</f>
        <v>1</v>
      </c>
      <c r="I167" t="str">
        <f t="shared" si="17"/>
        <v>unsafe</v>
      </c>
      <c r="J167">
        <f>IF(AirQuality[[#This Row],[Air Quality Status]]="unsafe",J166+1,0)</f>
        <v>166</v>
      </c>
    </row>
    <row r="168" spans="1:10" x14ac:dyDescent="0.3">
      <c r="A168" s="1">
        <v>44370</v>
      </c>
      <c r="B168">
        <v>80</v>
      </c>
      <c r="C168">
        <f t="shared" si="12"/>
        <v>2021</v>
      </c>
      <c r="D168" t="str">
        <f t="shared" si="13"/>
        <v>June</v>
      </c>
      <c r="E168">
        <f t="shared" si="14"/>
        <v>6</v>
      </c>
      <c r="F168" t="str">
        <f t="shared" si="15"/>
        <v>Jun 2021</v>
      </c>
      <c r="G168" t="str">
        <f t="shared" si="16"/>
        <v>Q2</v>
      </c>
      <c r="H168">
        <f>IF(AirQuality[[#This Row],[pm25  (ug/m3)]]&gt;15,1,0)</f>
        <v>1</v>
      </c>
      <c r="I168" t="str">
        <f t="shared" si="17"/>
        <v>unsafe</v>
      </c>
      <c r="J168">
        <f>IF(AirQuality[[#This Row],[Air Quality Status]]="unsafe",J167+1,0)</f>
        <v>167</v>
      </c>
    </row>
    <row r="169" spans="1:10" x14ac:dyDescent="0.3">
      <c r="A169" s="1">
        <v>44371</v>
      </c>
      <c r="B169">
        <v>91</v>
      </c>
      <c r="C169">
        <f t="shared" si="12"/>
        <v>2021</v>
      </c>
      <c r="D169" t="str">
        <f t="shared" si="13"/>
        <v>June</v>
      </c>
      <c r="E169">
        <f t="shared" si="14"/>
        <v>6</v>
      </c>
      <c r="F169" t="str">
        <f t="shared" si="15"/>
        <v>Jun 2021</v>
      </c>
      <c r="G169" t="str">
        <f t="shared" si="16"/>
        <v>Q2</v>
      </c>
      <c r="H169">
        <f>IF(AirQuality[[#This Row],[pm25  (ug/m3)]]&gt;15,1,0)</f>
        <v>1</v>
      </c>
      <c r="I169" t="str">
        <f t="shared" si="17"/>
        <v>unsafe</v>
      </c>
      <c r="J169">
        <f>IF(AirQuality[[#This Row],[Air Quality Status]]="unsafe",J168+1,0)</f>
        <v>168</v>
      </c>
    </row>
    <row r="170" spans="1:10" x14ac:dyDescent="0.3">
      <c r="A170" s="1">
        <v>44372</v>
      </c>
      <c r="B170">
        <v>96</v>
      </c>
      <c r="C170">
        <f t="shared" si="12"/>
        <v>2021</v>
      </c>
      <c r="D170" t="str">
        <f t="shared" si="13"/>
        <v>June</v>
      </c>
      <c r="E170">
        <f t="shared" si="14"/>
        <v>6</v>
      </c>
      <c r="F170" t="str">
        <f t="shared" si="15"/>
        <v>Jun 2021</v>
      </c>
      <c r="G170" t="str">
        <f t="shared" si="16"/>
        <v>Q2</v>
      </c>
      <c r="H170">
        <f>IF(AirQuality[[#This Row],[pm25  (ug/m3)]]&gt;15,1,0)</f>
        <v>1</v>
      </c>
      <c r="I170" t="str">
        <f t="shared" si="17"/>
        <v>unsafe</v>
      </c>
      <c r="J170">
        <f>IF(AirQuality[[#This Row],[Air Quality Status]]="unsafe",J169+1,0)</f>
        <v>169</v>
      </c>
    </row>
    <row r="171" spans="1:10" x14ac:dyDescent="0.3">
      <c r="A171" s="1">
        <v>44373</v>
      </c>
      <c r="B171">
        <v>98</v>
      </c>
      <c r="C171">
        <f t="shared" si="12"/>
        <v>2021</v>
      </c>
      <c r="D171" t="str">
        <f t="shared" si="13"/>
        <v>June</v>
      </c>
      <c r="E171">
        <f t="shared" si="14"/>
        <v>6</v>
      </c>
      <c r="F171" t="str">
        <f t="shared" si="15"/>
        <v>Jun 2021</v>
      </c>
      <c r="G171" t="str">
        <f t="shared" si="16"/>
        <v>Q2</v>
      </c>
      <c r="H171">
        <f>IF(AirQuality[[#This Row],[pm25  (ug/m3)]]&gt;15,1,0)</f>
        <v>1</v>
      </c>
      <c r="I171" t="str">
        <f t="shared" si="17"/>
        <v>unsafe</v>
      </c>
      <c r="J171">
        <f>IF(AirQuality[[#This Row],[Air Quality Status]]="unsafe",J170+1,0)</f>
        <v>170</v>
      </c>
    </row>
    <row r="172" spans="1:10" x14ac:dyDescent="0.3">
      <c r="A172" s="1">
        <v>44374</v>
      </c>
      <c r="B172">
        <v>98</v>
      </c>
      <c r="C172">
        <f t="shared" si="12"/>
        <v>2021</v>
      </c>
      <c r="D172" t="str">
        <f t="shared" si="13"/>
        <v>June</v>
      </c>
      <c r="E172">
        <f t="shared" si="14"/>
        <v>6</v>
      </c>
      <c r="F172" t="str">
        <f t="shared" si="15"/>
        <v>Jun 2021</v>
      </c>
      <c r="G172" t="str">
        <f t="shared" si="16"/>
        <v>Q2</v>
      </c>
      <c r="H172">
        <f>IF(AirQuality[[#This Row],[pm25  (ug/m3)]]&gt;15,1,0)</f>
        <v>1</v>
      </c>
      <c r="I172" t="str">
        <f t="shared" si="17"/>
        <v>unsafe</v>
      </c>
      <c r="J172">
        <f>IF(AirQuality[[#This Row],[Air Quality Status]]="unsafe",J171+1,0)</f>
        <v>171</v>
      </c>
    </row>
    <row r="173" spans="1:10" x14ac:dyDescent="0.3">
      <c r="A173" s="1">
        <v>44375</v>
      </c>
      <c r="B173">
        <v>103</v>
      </c>
      <c r="C173">
        <f t="shared" si="12"/>
        <v>2021</v>
      </c>
      <c r="D173" t="str">
        <f t="shared" si="13"/>
        <v>June</v>
      </c>
      <c r="E173">
        <f t="shared" si="14"/>
        <v>6</v>
      </c>
      <c r="F173" t="str">
        <f t="shared" si="15"/>
        <v>Jun 2021</v>
      </c>
      <c r="G173" t="str">
        <f t="shared" si="16"/>
        <v>Q2</v>
      </c>
      <c r="H173">
        <f>IF(AirQuality[[#This Row],[pm25  (ug/m3)]]&gt;15,1,0)</f>
        <v>1</v>
      </c>
      <c r="I173" t="str">
        <f t="shared" si="17"/>
        <v>unsafe</v>
      </c>
      <c r="J173">
        <f>IF(AirQuality[[#This Row],[Air Quality Status]]="unsafe",J172+1,0)</f>
        <v>172</v>
      </c>
    </row>
    <row r="174" spans="1:10" x14ac:dyDescent="0.3">
      <c r="A174" s="1">
        <v>44376</v>
      </c>
      <c r="B174">
        <v>80</v>
      </c>
      <c r="C174">
        <f t="shared" si="12"/>
        <v>2021</v>
      </c>
      <c r="D174" t="str">
        <f t="shared" si="13"/>
        <v>June</v>
      </c>
      <c r="E174">
        <f t="shared" si="14"/>
        <v>6</v>
      </c>
      <c r="F174" t="str">
        <f t="shared" si="15"/>
        <v>Jun 2021</v>
      </c>
      <c r="G174" t="str">
        <f t="shared" si="16"/>
        <v>Q2</v>
      </c>
      <c r="H174">
        <f>IF(AirQuality[[#This Row],[pm25  (ug/m3)]]&gt;15,1,0)</f>
        <v>1</v>
      </c>
      <c r="I174" t="str">
        <f t="shared" si="17"/>
        <v>unsafe</v>
      </c>
      <c r="J174">
        <f>IF(AirQuality[[#This Row],[Air Quality Status]]="unsafe",J173+1,0)</f>
        <v>173</v>
      </c>
    </row>
    <row r="175" spans="1:10" x14ac:dyDescent="0.3">
      <c r="A175" s="1">
        <v>44377</v>
      </c>
      <c r="B175">
        <v>95</v>
      </c>
      <c r="C175">
        <f t="shared" si="12"/>
        <v>2021</v>
      </c>
      <c r="D175" t="str">
        <f t="shared" si="13"/>
        <v>June</v>
      </c>
      <c r="E175">
        <f t="shared" si="14"/>
        <v>6</v>
      </c>
      <c r="F175" t="str">
        <f t="shared" si="15"/>
        <v>Jun 2021</v>
      </c>
      <c r="G175" t="str">
        <f t="shared" si="16"/>
        <v>Q2</v>
      </c>
      <c r="H175">
        <f>IF(AirQuality[[#This Row],[pm25  (ug/m3)]]&gt;15,1,0)</f>
        <v>1</v>
      </c>
      <c r="I175" t="str">
        <f t="shared" si="17"/>
        <v>unsafe</v>
      </c>
      <c r="J175">
        <f>IF(AirQuality[[#This Row],[Air Quality Status]]="unsafe",J174+1,0)</f>
        <v>174</v>
      </c>
    </row>
    <row r="176" spans="1:10" x14ac:dyDescent="0.3">
      <c r="A176" s="1">
        <v>44378</v>
      </c>
      <c r="B176">
        <v>91</v>
      </c>
      <c r="C176">
        <f t="shared" si="12"/>
        <v>2021</v>
      </c>
      <c r="D176" t="str">
        <f t="shared" si="13"/>
        <v>July</v>
      </c>
      <c r="E176">
        <f t="shared" si="14"/>
        <v>7</v>
      </c>
      <c r="F176" t="str">
        <f t="shared" si="15"/>
        <v>Jul 2021</v>
      </c>
      <c r="G176" t="str">
        <f t="shared" si="16"/>
        <v>Q3</v>
      </c>
      <c r="H176">
        <f>IF(AirQuality[[#This Row],[pm25  (ug/m3)]]&gt;15,1,0)</f>
        <v>1</v>
      </c>
      <c r="I176" t="str">
        <f t="shared" si="17"/>
        <v>unsafe</v>
      </c>
      <c r="J176">
        <f>IF(AirQuality[[#This Row],[Air Quality Status]]="unsafe",J175+1,0)</f>
        <v>175</v>
      </c>
    </row>
    <row r="177" spans="1:10" x14ac:dyDescent="0.3">
      <c r="A177" s="1">
        <v>44379</v>
      </c>
      <c r="B177">
        <v>95</v>
      </c>
      <c r="C177">
        <f t="shared" si="12"/>
        <v>2021</v>
      </c>
      <c r="D177" t="str">
        <f t="shared" si="13"/>
        <v>July</v>
      </c>
      <c r="E177">
        <f t="shared" si="14"/>
        <v>7</v>
      </c>
      <c r="F177" t="str">
        <f t="shared" si="15"/>
        <v>Jul 2021</v>
      </c>
      <c r="G177" t="str">
        <f t="shared" si="16"/>
        <v>Q3</v>
      </c>
      <c r="H177">
        <f>IF(AirQuality[[#This Row],[pm25  (ug/m3)]]&gt;15,1,0)</f>
        <v>1</v>
      </c>
      <c r="I177" t="str">
        <f t="shared" si="17"/>
        <v>unsafe</v>
      </c>
      <c r="J177">
        <f>IF(AirQuality[[#This Row],[Air Quality Status]]="unsafe",J176+1,0)</f>
        <v>176</v>
      </c>
    </row>
    <row r="178" spans="1:10" x14ac:dyDescent="0.3">
      <c r="A178" s="1">
        <v>44380</v>
      </c>
      <c r="B178">
        <v>104</v>
      </c>
      <c r="C178">
        <f t="shared" si="12"/>
        <v>2021</v>
      </c>
      <c r="D178" t="str">
        <f t="shared" si="13"/>
        <v>July</v>
      </c>
      <c r="E178">
        <f t="shared" si="14"/>
        <v>7</v>
      </c>
      <c r="F178" t="str">
        <f t="shared" si="15"/>
        <v>Jul 2021</v>
      </c>
      <c r="G178" t="str">
        <f t="shared" si="16"/>
        <v>Q3</v>
      </c>
      <c r="H178">
        <f>IF(AirQuality[[#This Row],[pm25  (ug/m3)]]&gt;15,1,0)</f>
        <v>1</v>
      </c>
      <c r="I178" t="str">
        <f t="shared" si="17"/>
        <v>unsafe</v>
      </c>
      <c r="J178">
        <f>IF(AirQuality[[#This Row],[Air Quality Status]]="unsafe",J177+1,0)</f>
        <v>177</v>
      </c>
    </row>
    <row r="179" spans="1:10" x14ac:dyDescent="0.3">
      <c r="A179" s="1">
        <v>44381</v>
      </c>
      <c r="B179">
        <v>87</v>
      </c>
      <c r="C179">
        <f t="shared" si="12"/>
        <v>2021</v>
      </c>
      <c r="D179" t="str">
        <f t="shared" si="13"/>
        <v>July</v>
      </c>
      <c r="E179">
        <f t="shared" si="14"/>
        <v>7</v>
      </c>
      <c r="F179" t="str">
        <f t="shared" si="15"/>
        <v>Jul 2021</v>
      </c>
      <c r="G179" t="str">
        <f t="shared" si="16"/>
        <v>Q3</v>
      </c>
      <c r="H179">
        <f>IF(AirQuality[[#This Row],[pm25  (ug/m3)]]&gt;15,1,0)</f>
        <v>1</v>
      </c>
      <c r="I179" t="str">
        <f t="shared" si="17"/>
        <v>unsafe</v>
      </c>
      <c r="J179">
        <f>IF(AirQuality[[#This Row],[Air Quality Status]]="unsafe",J178+1,0)</f>
        <v>178</v>
      </c>
    </row>
    <row r="180" spans="1:10" x14ac:dyDescent="0.3">
      <c r="A180" s="1">
        <v>44382</v>
      </c>
      <c r="B180">
        <v>91</v>
      </c>
      <c r="C180">
        <f t="shared" si="12"/>
        <v>2021</v>
      </c>
      <c r="D180" t="str">
        <f t="shared" si="13"/>
        <v>July</v>
      </c>
      <c r="E180">
        <f t="shared" si="14"/>
        <v>7</v>
      </c>
      <c r="F180" t="str">
        <f t="shared" si="15"/>
        <v>Jul 2021</v>
      </c>
      <c r="G180" t="str">
        <f t="shared" si="16"/>
        <v>Q3</v>
      </c>
      <c r="H180">
        <f>IF(AirQuality[[#This Row],[pm25  (ug/m3)]]&gt;15,1,0)</f>
        <v>1</v>
      </c>
      <c r="I180" t="str">
        <f t="shared" si="17"/>
        <v>unsafe</v>
      </c>
      <c r="J180">
        <f>IF(AirQuality[[#This Row],[Air Quality Status]]="unsafe",J179+1,0)</f>
        <v>179</v>
      </c>
    </row>
    <row r="181" spans="1:10" x14ac:dyDescent="0.3">
      <c r="A181" s="1">
        <v>44383</v>
      </c>
      <c r="B181">
        <v>89</v>
      </c>
      <c r="C181">
        <f t="shared" si="12"/>
        <v>2021</v>
      </c>
      <c r="D181" t="str">
        <f t="shared" si="13"/>
        <v>July</v>
      </c>
      <c r="E181">
        <f t="shared" si="14"/>
        <v>7</v>
      </c>
      <c r="F181" t="str">
        <f t="shared" si="15"/>
        <v>Jul 2021</v>
      </c>
      <c r="G181" t="str">
        <f t="shared" si="16"/>
        <v>Q3</v>
      </c>
      <c r="H181">
        <f>IF(AirQuality[[#This Row],[pm25  (ug/m3)]]&gt;15,1,0)</f>
        <v>1</v>
      </c>
      <c r="I181" t="str">
        <f t="shared" si="17"/>
        <v>unsafe</v>
      </c>
      <c r="J181">
        <f>IF(AirQuality[[#This Row],[Air Quality Status]]="unsafe",J180+1,0)</f>
        <v>180</v>
      </c>
    </row>
    <row r="182" spans="1:10" x14ac:dyDescent="0.3">
      <c r="A182" s="1">
        <v>44384</v>
      </c>
      <c r="B182">
        <v>113</v>
      </c>
      <c r="C182">
        <f t="shared" si="12"/>
        <v>2021</v>
      </c>
      <c r="D182" t="str">
        <f t="shared" si="13"/>
        <v>July</v>
      </c>
      <c r="E182">
        <f t="shared" si="14"/>
        <v>7</v>
      </c>
      <c r="F182" t="str">
        <f t="shared" si="15"/>
        <v>Jul 2021</v>
      </c>
      <c r="G182" t="str">
        <f t="shared" si="16"/>
        <v>Q3</v>
      </c>
      <c r="H182">
        <f>IF(AirQuality[[#This Row],[pm25  (ug/m3)]]&gt;15,1,0)</f>
        <v>1</v>
      </c>
      <c r="I182" t="str">
        <f t="shared" si="17"/>
        <v>unsafe</v>
      </c>
      <c r="J182">
        <f>IF(AirQuality[[#This Row],[Air Quality Status]]="unsafe",J181+1,0)</f>
        <v>181</v>
      </c>
    </row>
    <row r="183" spans="1:10" x14ac:dyDescent="0.3">
      <c r="A183" s="1">
        <v>44385</v>
      </c>
      <c r="B183">
        <v>107</v>
      </c>
      <c r="C183">
        <f t="shared" si="12"/>
        <v>2021</v>
      </c>
      <c r="D183" t="str">
        <f t="shared" si="13"/>
        <v>July</v>
      </c>
      <c r="E183">
        <f t="shared" si="14"/>
        <v>7</v>
      </c>
      <c r="F183" t="str">
        <f t="shared" si="15"/>
        <v>Jul 2021</v>
      </c>
      <c r="G183" t="str">
        <f t="shared" si="16"/>
        <v>Q3</v>
      </c>
      <c r="H183">
        <f>IF(AirQuality[[#This Row],[pm25  (ug/m3)]]&gt;15,1,0)</f>
        <v>1</v>
      </c>
      <c r="I183" t="str">
        <f t="shared" si="17"/>
        <v>unsafe</v>
      </c>
      <c r="J183">
        <f>IF(AirQuality[[#This Row],[Air Quality Status]]="unsafe",J182+1,0)</f>
        <v>182</v>
      </c>
    </row>
    <row r="184" spans="1:10" x14ac:dyDescent="0.3">
      <c r="A184" s="1">
        <v>44386</v>
      </c>
      <c r="B184">
        <v>104</v>
      </c>
      <c r="C184">
        <f t="shared" si="12"/>
        <v>2021</v>
      </c>
      <c r="D184" t="str">
        <f t="shared" si="13"/>
        <v>July</v>
      </c>
      <c r="E184">
        <f t="shared" si="14"/>
        <v>7</v>
      </c>
      <c r="F184" t="str">
        <f t="shared" si="15"/>
        <v>Jul 2021</v>
      </c>
      <c r="G184" t="str">
        <f t="shared" si="16"/>
        <v>Q3</v>
      </c>
      <c r="H184">
        <f>IF(AirQuality[[#This Row],[pm25  (ug/m3)]]&gt;15,1,0)</f>
        <v>1</v>
      </c>
      <c r="I184" t="str">
        <f t="shared" si="17"/>
        <v>unsafe</v>
      </c>
      <c r="J184">
        <f>IF(AirQuality[[#This Row],[Air Quality Status]]="unsafe",J183+1,0)</f>
        <v>183</v>
      </c>
    </row>
    <row r="185" spans="1:10" x14ac:dyDescent="0.3">
      <c r="A185" s="1">
        <v>44387</v>
      </c>
      <c r="B185">
        <v>99</v>
      </c>
      <c r="C185">
        <f t="shared" si="12"/>
        <v>2021</v>
      </c>
      <c r="D185" t="str">
        <f t="shared" si="13"/>
        <v>July</v>
      </c>
      <c r="E185">
        <f t="shared" si="14"/>
        <v>7</v>
      </c>
      <c r="F185" t="str">
        <f t="shared" si="15"/>
        <v>Jul 2021</v>
      </c>
      <c r="G185" t="str">
        <f t="shared" si="16"/>
        <v>Q3</v>
      </c>
      <c r="H185">
        <f>IF(AirQuality[[#This Row],[pm25  (ug/m3)]]&gt;15,1,0)</f>
        <v>1</v>
      </c>
      <c r="I185" t="str">
        <f t="shared" si="17"/>
        <v>unsafe</v>
      </c>
      <c r="J185">
        <f>IF(AirQuality[[#This Row],[Air Quality Status]]="unsafe",J184+1,0)</f>
        <v>184</v>
      </c>
    </row>
    <row r="186" spans="1:10" x14ac:dyDescent="0.3">
      <c r="A186" s="1">
        <v>44388</v>
      </c>
      <c r="B186">
        <v>112</v>
      </c>
      <c r="C186">
        <f t="shared" si="12"/>
        <v>2021</v>
      </c>
      <c r="D186" t="str">
        <f t="shared" si="13"/>
        <v>July</v>
      </c>
      <c r="E186">
        <f t="shared" si="14"/>
        <v>7</v>
      </c>
      <c r="F186" t="str">
        <f t="shared" si="15"/>
        <v>Jul 2021</v>
      </c>
      <c r="G186" t="str">
        <f t="shared" si="16"/>
        <v>Q3</v>
      </c>
      <c r="H186">
        <f>IF(AirQuality[[#This Row],[pm25  (ug/m3)]]&gt;15,1,0)</f>
        <v>1</v>
      </c>
      <c r="I186" t="str">
        <f t="shared" si="17"/>
        <v>unsafe</v>
      </c>
      <c r="J186">
        <f>IF(AirQuality[[#This Row],[Air Quality Status]]="unsafe",J185+1,0)</f>
        <v>185</v>
      </c>
    </row>
    <row r="187" spans="1:10" x14ac:dyDescent="0.3">
      <c r="A187" s="1">
        <v>44389</v>
      </c>
      <c r="B187">
        <v>118</v>
      </c>
      <c r="C187">
        <f t="shared" si="12"/>
        <v>2021</v>
      </c>
      <c r="D187" t="str">
        <f t="shared" si="13"/>
        <v>July</v>
      </c>
      <c r="E187">
        <f t="shared" si="14"/>
        <v>7</v>
      </c>
      <c r="F187" t="str">
        <f t="shared" si="15"/>
        <v>Jul 2021</v>
      </c>
      <c r="G187" t="str">
        <f t="shared" si="16"/>
        <v>Q3</v>
      </c>
      <c r="H187">
        <f>IF(AirQuality[[#This Row],[pm25  (ug/m3)]]&gt;15,1,0)</f>
        <v>1</v>
      </c>
      <c r="I187" t="str">
        <f t="shared" si="17"/>
        <v>unsafe</v>
      </c>
      <c r="J187">
        <f>IF(AirQuality[[#This Row],[Air Quality Status]]="unsafe",J186+1,0)</f>
        <v>186</v>
      </c>
    </row>
    <row r="188" spans="1:10" x14ac:dyDescent="0.3">
      <c r="A188" s="1">
        <v>44390</v>
      </c>
      <c r="B188">
        <v>123</v>
      </c>
      <c r="C188">
        <f t="shared" si="12"/>
        <v>2021</v>
      </c>
      <c r="D188" t="str">
        <f t="shared" si="13"/>
        <v>July</v>
      </c>
      <c r="E188">
        <f t="shared" si="14"/>
        <v>7</v>
      </c>
      <c r="F188" t="str">
        <f t="shared" si="15"/>
        <v>Jul 2021</v>
      </c>
      <c r="G188" t="str">
        <f t="shared" si="16"/>
        <v>Q3</v>
      </c>
      <c r="H188">
        <f>IF(AirQuality[[#This Row],[pm25  (ug/m3)]]&gt;15,1,0)</f>
        <v>1</v>
      </c>
      <c r="I188" t="str">
        <f t="shared" si="17"/>
        <v>unsafe</v>
      </c>
      <c r="J188">
        <f>IF(AirQuality[[#This Row],[Air Quality Status]]="unsafe",J187+1,0)</f>
        <v>187</v>
      </c>
    </row>
    <row r="189" spans="1:10" x14ac:dyDescent="0.3">
      <c r="A189" s="1">
        <v>44391</v>
      </c>
      <c r="B189">
        <v>123</v>
      </c>
      <c r="C189">
        <f t="shared" si="12"/>
        <v>2021</v>
      </c>
      <c r="D189" t="str">
        <f t="shared" si="13"/>
        <v>July</v>
      </c>
      <c r="E189">
        <f t="shared" si="14"/>
        <v>7</v>
      </c>
      <c r="F189" t="str">
        <f t="shared" si="15"/>
        <v>Jul 2021</v>
      </c>
      <c r="G189" t="str">
        <f t="shared" si="16"/>
        <v>Q3</v>
      </c>
      <c r="H189">
        <f>IF(AirQuality[[#This Row],[pm25  (ug/m3)]]&gt;15,1,0)</f>
        <v>1</v>
      </c>
      <c r="I189" t="str">
        <f t="shared" si="17"/>
        <v>unsafe</v>
      </c>
      <c r="J189">
        <f>IF(AirQuality[[#This Row],[Air Quality Status]]="unsafe",J188+1,0)</f>
        <v>188</v>
      </c>
    </row>
    <row r="190" spans="1:10" x14ac:dyDescent="0.3">
      <c r="A190" s="1">
        <v>44392</v>
      </c>
      <c r="B190">
        <v>125</v>
      </c>
      <c r="C190">
        <f t="shared" si="12"/>
        <v>2021</v>
      </c>
      <c r="D190" t="str">
        <f t="shared" si="13"/>
        <v>July</v>
      </c>
      <c r="E190">
        <f t="shared" si="14"/>
        <v>7</v>
      </c>
      <c r="F190" t="str">
        <f t="shared" si="15"/>
        <v>Jul 2021</v>
      </c>
      <c r="G190" t="str">
        <f t="shared" si="16"/>
        <v>Q3</v>
      </c>
      <c r="H190">
        <f>IF(AirQuality[[#This Row],[pm25  (ug/m3)]]&gt;15,1,0)</f>
        <v>1</v>
      </c>
      <c r="I190" t="str">
        <f t="shared" si="17"/>
        <v>unsafe</v>
      </c>
      <c r="J190">
        <f>IF(AirQuality[[#This Row],[Air Quality Status]]="unsafe",J189+1,0)</f>
        <v>189</v>
      </c>
    </row>
    <row r="191" spans="1:10" x14ac:dyDescent="0.3">
      <c r="A191" s="1">
        <v>44393</v>
      </c>
      <c r="B191">
        <v>127</v>
      </c>
      <c r="C191">
        <f t="shared" si="12"/>
        <v>2021</v>
      </c>
      <c r="D191" t="str">
        <f t="shared" si="13"/>
        <v>July</v>
      </c>
      <c r="E191">
        <f t="shared" si="14"/>
        <v>7</v>
      </c>
      <c r="F191" t="str">
        <f t="shared" si="15"/>
        <v>Jul 2021</v>
      </c>
      <c r="G191" t="str">
        <f t="shared" si="16"/>
        <v>Q3</v>
      </c>
      <c r="H191">
        <f>IF(AirQuality[[#This Row],[pm25  (ug/m3)]]&gt;15,1,0)</f>
        <v>1</v>
      </c>
      <c r="I191" t="str">
        <f t="shared" si="17"/>
        <v>unsafe</v>
      </c>
      <c r="J191">
        <f>IF(AirQuality[[#This Row],[Air Quality Status]]="unsafe",J190+1,0)</f>
        <v>190</v>
      </c>
    </row>
    <row r="192" spans="1:10" x14ac:dyDescent="0.3">
      <c r="A192" s="1">
        <v>44394</v>
      </c>
      <c r="B192">
        <v>129</v>
      </c>
      <c r="C192">
        <f t="shared" si="12"/>
        <v>2021</v>
      </c>
      <c r="D192" t="str">
        <f t="shared" si="13"/>
        <v>July</v>
      </c>
      <c r="E192">
        <f t="shared" si="14"/>
        <v>7</v>
      </c>
      <c r="F192" t="str">
        <f t="shared" si="15"/>
        <v>Jul 2021</v>
      </c>
      <c r="G192" t="str">
        <f t="shared" si="16"/>
        <v>Q3</v>
      </c>
      <c r="H192">
        <f>IF(AirQuality[[#This Row],[pm25  (ug/m3)]]&gt;15,1,0)</f>
        <v>1</v>
      </c>
      <c r="I192" t="str">
        <f t="shared" si="17"/>
        <v>unsafe</v>
      </c>
      <c r="J192">
        <f>IF(AirQuality[[#This Row],[Air Quality Status]]="unsafe",J191+1,0)</f>
        <v>191</v>
      </c>
    </row>
    <row r="193" spans="1:10" x14ac:dyDescent="0.3">
      <c r="A193" s="1">
        <v>44395</v>
      </c>
      <c r="B193">
        <v>129</v>
      </c>
      <c r="C193">
        <f t="shared" si="12"/>
        <v>2021</v>
      </c>
      <c r="D193" t="str">
        <f t="shared" si="13"/>
        <v>July</v>
      </c>
      <c r="E193">
        <f t="shared" si="14"/>
        <v>7</v>
      </c>
      <c r="F193" t="str">
        <f t="shared" si="15"/>
        <v>Jul 2021</v>
      </c>
      <c r="G193" t="str">
        <f t="shared" si="16"/>
        <v>Q3</v>
      </c>
      <c r="H193">
        <f>IF(AirQuality[[#This Row],[pm25  (ug/m3)]]&gt;15,1,0)</f>
        <v>1</v>
      </c>
      <c r="I193" t="str">
        <f t="shared" si="17"/>
        <v>unsafe</v>
      </c>
      <c r="J193">
        <f>IF(AirQuality[[#This Row],[Air Quality Status]]="unsafe",J192+1,0)</f>
        <v>192</v>
      </c>
    </row>
    <row r="194" spans="1:10" x14ac:dyDescent="0.3">
      <c r="A194" s="1">
        <v>44396</v>
      </c>
      <c r="B194">
        <v>123</v>
      </c>
      <c r="C194">
        <f t="shared" ref="C194:C257" si="18">YEAR(A194)</f>
        <v>2021</v>
      </c>
      <c r="D194" t="str">
        <f t="shared" ref="D194:D257" si="19">TEXT(A194,"mmmm")</f>
        <v>July</v>
      </c>
      <c r="E194">
        <f t="shared" ref="E194:E257" si="20">MONTH(A194)</f>
        <v>7</v>
      </c>
      <c r="F194" t="str">
        <f t="shared" ref="F194:F257" si="21">TEXT(A194,"mmm yyyy")</f>
        <v>Jul 2021</v>
      </c>
      <c r="G194" t="str">
        <f t="shared" ref="G194:G257" si="22">"Q"&amp;ROUNDUP(MONTH(A194)/3,0)</f>
        <v>Q3</v>
      </c>
      <c r="H194">
        <f>IF(AirQuality[[#This Row],[pm25  (ug/m3)]]&gt;15,1,0)</f>
        <v>1</v>
      </c>
      <c r="I194" t="str">
        <f t="shared" ref="I194:I257" si="23">IF(B194&gt;15,"unsafe","safe")</f>
        <v>unsafe</v>
      </c>
      <c r="J194">
        <f>IF(AirQuality[[#This Row],[Air Quality Status]]="unsafe",J193+1,0)</f>
        <v>193</v>
      </c>
    </row>
    <row r="195" spans="1:10" x14ac:dyDescent="0.3">
      <c r="A195" s="1">
        <v>44397</v>
      </c>
      <c r="B195">
        <v>120</v>
      </c>
      <c r="C195">
        <f t="shared" si="18"/>
        <v>2021</v>
      </c>
      <c r="D195" t="str">
        <f t="shared" si="19"/>
        <v>July</v>
      </c>
      <c r="E195">
        <f t="shared" si="20"/>
        <v>7</v>
      </c>
      <c r="F195" t="str">
        <f t="shared" si="21"/>
        <v>Jul 2021</v>
      </c>
      <c r="G195" t="str">
        <f t="shared" si="22"/>
        <v>Q3</v>
      </c>
      <c r="H195">
        <f>IF(AirQuality[[#This Row],[pm25  (ug/m3)]]&gt;15,1,0)</f>
        <v>1</v>
      </c>
      <c r="I195" t="str">
        <f t="shared" si="23"/>
        <v>unsafe</v>
      </c>
      <c r="J195">
        <f>IF(AirQuality[[#This Row],[Air Quality Status]]="unsafe",J194+1,0)</f>
        <v>194</v>
      </c>
    </row>
    <row r="196" spans="1:10" x14ac:dyDescent="0.3">
      <c r="A196" s="1">
        <v>44398</v>
      </c>
      <c r="B196">
        <v>124</v>
      </c>
      <c r="C196">
        <f t="shared" si="18"/>
        <v>2021</v>
      </c>
      <c r="D196" t="str">
        <f t="shared" si="19"/>
        <v>July</v>
      </c>
      <c r="E196">
        <f t="shared" si="20"/>
        <v>7</v>
      </c>
      <c r="F196" t="str">
        <f t="shared" si="21"/>
        <v>Jul 2021</v>
      </c>
      <c r="G196" t="str">
        <f t="shared" si="22"/>
        <v>Q3</v>
      </c>
      <c r="H196">
        <f>IF(AirQuality[[#This Row],[pm25  (ug/m3)]]&gt;15,1,0)</f>
        <v>1</v>
      </c>
      <c r="I196" t="str">
        <f t="shared" si="23"/>
        <v>unsafe</v>
      </c>
      <c r="J196">
        <f>IF(AirQuality[[#This Row],[Air Quality Status]]="unsafe",J195+1,0)</f>
        <v>195</v>
      </c>
    </row>
    <row r="197" spans="1:10" x14ac:dyDescent="0.3">
      <c r="A197" s="1">
        <v>44399</v>
      </c>
      <c r="B197">
        <v>130</v>
      </c>
      <c r="C197">
        <f t="shared" si="18"/>
        <v>2021</v>
      </c>
      <c r="D197" t="str">
        <f t="shared" si="19"/>
        <v>July</v>
      </c>
      <c r="E197">
        <f t="shared" si="20"/>
        <v>7</v>
      </c>
      <c r="F197" t="str">
        <f t="shared" si="21"/>
        <v>Jul 2021</v>
      </c>
      <c r="G197" t="str">
        <f t="shared" si="22"/>
        <v>Q3</v>
      </c>
      <c r="H197">
        <f>IF(AirQuality[[#This Row],[pm25  (ug/m3)]]&gt;15,1,0)</f>
        <v>1</v>
      </c>
      <c r="I197" t="str">
        <f t="shared" si="23"/>
        <v>unsafe</v>
      </c>
      <c r="J197">
        <f>IF(AirQuality[[#This Row],[Air Quality Status]]="unsafe",J196+1,0)</f>
        <v>196</v>
      </c>
    </row>
    <row r="198" spans="1:10" x14ac:dyDescent="0.3">
      <c r="A198" s="1">
        <v>44400</v>
      </c>
      <c r="B198">
        <v>133</v>
      </c>
      <c r="C198">
        <f t="shared" si="18"/>
        <v>2021</v>
      </c>
      <c r="D198" t="str">
        <f t="shared" si="19"/>
        <v>July</v>
      </c>
      <c r="E198">
        <f t="shared" si="20"/>
        <v>7</v>
      </c>
      <c r="F198" t="str">
        <f t="shared" si="21"/>
        <v>Jul 2021</v>
      </c>
      <c r="G198" t="str">
        <f t="shared" si="22"/>
        <v>Q3</v>
      </c>
      <c r="H198">
        <f>IF(AirQuality[[#This Row],[pm25  (ug/m3)]]&gt;15,1,0)</f>
        <v>1</v>
      </c>
      <c r="I198" t="str">
        <f t="shared" si="23"/>
        <v>unsafe</v>
      </c>
      <c r="J198">
        <f>IF(AirQuality[[#This Row],[Air Quality Status]]="unsafe",J197+1,0)</f>
        <v>197</v>
      </c>
    </row>
    <row r="199" spans="1:10" x14ac:dyDescent="0.3">
      <c r="A199" s="1">
        <v>44401</v>
      </c>
      <c r="B199">
        <v>127</v>
      </c>
      <c r="C199">
        <f t="shared" si="18"/>
        <v>2021</v>
      </c>
      <c r="D199" t="str">
        <f t="shared" si="19"/>
        <v>July</v>
      </c>
      <c r="E199">
        <f t="shared" si="20"/>
        <v>7</v>
      </c>
      <c r="F199" t="str">
        <f t="shared" si="21"/>
        <v>Jul 2021</v>
      </c>
      <c r="G199" t="str">
        <f t="shared" si="22"/>
        <v>Q3</v>
      </c>
      <c r="H199">
        <f>IF(AirQuality[[#This Row],[pm25  (ug/m3)]]&gt;15,1,0)</f>
        <v>1</v>
      </c>
      <c r="I199" t="str">
        <f t="shared" si="23"/>
        <v>unsafe</v>
      </c>
      <c r="J199">
        <f>IF(AirQuality[[#This Row],[Air Quality Status]]="unsafe",J198+1,0)</f>
        <v>198</v>
      </c>
    </row>
    <row r="200" spans="1:10" x14ac:dyDescent="0.3">
      <c r="A200" s="1">
        <v>44402</v>
      </c>
      <c r="B200">
        <v>131</v>
      </c>
      <c r="C200">
        <f t="shared" si="18"/>
        <v>2021</v>
      </c>
      <c r="D200" t="str">
        <f t="shared" si="19"/>
        <v>July</v>
      </c>
      <c r="E200">
        <f t="shared" si="20"/>
        <v>7</v>
      </c>
      <c r="F200" t="str">
        <f t="shared" si="21"/>
        <v>Jul 2021</v>
      </c>
      <c r="G200" t="str">
        <f t="shared" si="22"/>
        <v>Q3</v>
      </c>
      <c r="H200">
        <f>IF(AirQuality[[#This Row],[pm25  (ug/m3)]]&gt;15,1,0)</f>
        <v>1</v>
      </c>
      <c r="I200" t="str">
        <f t="shared" si="23"/>
        <v>unsafe</v>
      </c>
      <c r="J200">
        <f>IF(AirQuality[[#This Row],[Air Quality Status]]="unsafe",J199+1,0)</f>
        <v>199</v>
      </c>
    </row>
    <row r="201" spans="1:10" x14ac:dyDescent="0.3">
      <c r="A201" s="1">
        <v>44403</v>
      </c>
      <c r="B201">
        <v>127</v>
      </c>
      <c r="C201">
        <f t="shared" si="18"/>
        <v>2021</v>
      </c>
      <c r="D201" t="str">
        <f t="shared" si="19"/>
        <v>July</v>
      </c>
      <c r="E201">
        <f t="shared" si="20"/>
        <v>7</v>
      </c>
      <c r="F201" t="str">
        <f t="shared" si="21"/>
        <v>Jul 2021</v>
      </c>
      <c r="G201" t="str">
        <f t="shared" si="22"/>
        <v>Q3</v>
      </c>
      <c r="H201">
        <f>IF(AirQuality[[#This Row],[pm25  (ug/m3)]]&gt;15,1,0)</f>
        <v>1</v>
      </c>
      <c r="I201" t="str">
        <f t="shared" si="23"/>
        <v>unsafe</v>
      </c>
      <c r="J201">
        <f>IF(AirQuality[[#This Row],[Air Quality Status]]="unsafe",J200+1,0)</f>
        <v>200</v>
      </c>
    </row>
    <row r="202" spans="1:10" x14ac:dyDescent="0.3">
      <c r="A202" s="1">
        <v>44404</v>
      </c>
      <c r="B202">
        <v>138</v>
      </c>
      <c r="C202">
        <f t="shared" si="18"/>
        <v>2021</v>
      </c>
      <c r="D202" t="str">
        <f t="shared" si="19"/>
        <v>July</v>
      </c>
      <c r="E202">
        <f t="shared" si="20"/>
        <v>7</v>
      </c>
      <c r="F202" t="str">
        <f t="shared" si="21"/>
        <v>Jul 2021</v>
      </c>
      <c r="G202" t="str">
        <f t="shared" si="22"/>
        <v>Q3</v>
      </c>
      <c r="H202">
        <f>IF(AirQuality[[#This Row],[pm25  (ug/m3)]]&gt;15,1,0)</f>
        <v>1</v>
      </c>
      <c r="I202" t="str">
        <f t="shared" si="23"/>
        <v>unsafe</v>
      </c>
      <c r="J202">
        <f>IF(AirQuality[[#This Row],[Air Quality Status]]="unsafe",J201+1,0)</f>
        <v>201</v>
      </c>
    </row>
    <row r="203" spans="1:10" x14ac:dyDescent="0.3">
      <c r="A203" s="1">
        <v>44405</v>
      </c>
      <c r="B203">
        <v>139</v>
      </c>
      <c r="C203">
        <f t="shared" si="18"/>
        <v>2021</v>
      </c>
      <c r="D203" t="str">
        <f t="shared" si="19"/>
        <v>July</v>
      </c>
      <c r="E203">
        <f t="shared" si="20"/>
        <v>7</v>
      </c>
      <c r="F203" t="str">
        <f t="shared" si="21"/>
        <v>Jul 2021</v>
      </c>
      <c r="G203" t="str">
        <f t="shared" si="22"/>
        <v>Q3</v>
      </c>
      <c r="H203">
        <f>IF(AirQuality[[#This Row],[pm25  (ug/m3)]]&gt;15,1,0)</f>
        <v>1</v>
      </c>
      <c r="I203" t="str">
        <f t="shared" si="23"/>
        <v>unsafe</v>
      </c>
      <c r="J203">
        <f>IF(AirQuality[[#This Row],[Air Quality Status]]="unsafe",J202+1,0)</f>
        <v>202</v>
      </c>
    </row>
    <row r="204" spans="1:10" x14ac:dyDescent="0.3">
      <c r="A204" s="1">
        <v>44406</v>
      </c>
      <c r="B204">
        <v>148</v>
      </c>
      <c r="C204">
        <f t="shared" si="18"/>
        <v>2021</v>
      </c>
      <c r="D204" t="str">
        <f t="shared" si="19"/>
        <v>July</v>
      </c>
      <c r="E204">
        <f t="shared" si="20"/>
        <v>7</v>
      </c>
      <c r="F204" t="str">
        <f t="shared" si="21"/>
        <v>Jul 2021</v>
      </c>
      <c r="G204" t="str">
        <f t="shared" si="22"/>
        <v>Q3</v>
      </c>
      <c r="H204">
        <f>IF(AirQuality[[#This Row],[pm25  (ug/m3)]]&gt;15,1,0)</f>
        <v>1</v>
      </c>
      <c r="I204" t="str">
        <f t="shared" si="23"/>
        <v>unsafe</v>
      </c>
      <c r="J204">
        <f>IF(AirQuality[[#This Row],[Air Quality Status]]="unsafe",J203+1,0)</f>
        <v>203</v>
      </c>
    </row>
    <row r="205" spans="1:10" x14ac:dyDescent="0.3">
      <c r="A205" s="1">
        <v>44407</v>
      </c>
      <c r="B205">
        <v>147</v>
      </c>
      <c r="C205">
        <f t="shared" si="18"/>
        <v>2021</v>
      </c>
      <c r="D205" t="str">
        <f t="shared" si="19"/>
        <v>July</v>
      </c>
      <c r="E205">
        <f t="shared" si="20"/>
        <v>7</v>
      </c>
      <c r="F205" t="str">
        <f t="shared" si="21"/>
        <v>Jul 2021</v>
      </c>
      <c r="G205" t="str">
        <f t="shared" si="22"/>
        <v>Q3</v>
      </c>
      <c r="H205">
        <f>IF(AirQuality[[#This Row],[pm25  (ug/m3)]]&gt;15,1,0)</f>
        <v>1</v>
      </c>
      <c r="I205" t="str">
        <f t="shared" si="23"/>
        <v>unsafe</v>
      </c>
      <c r="J205">
        <f>IF(AirQuality[[#This Row],[Air Quality Status]]="unsafe",J204+1,0)</f>
        <v>204</v>
      </c>
    </row>
    <row r="206" spans="1:10" x14ac:dyDescent="0.3">
      <c r="A206" s="1">
        <v>44408</v>
      </c>
      <c r="B206">
        <v>146</v>
      </c>
      <c r="C206">
        <f t="shared" si="18"/>
        <v>2021</v>
      </c>
      <c r="D206" t="str">
        <f t="shared" si="19"/>
        <v>July</v>
      </c>
      <c r="E206">
        <f t="shared" si="20"/>
        <v>7</v>
      </c>
      <c r="F206" t="str">
        <f t="shared" si="21"/>
        <v>Jul 2021</v>
      </c>
      <c r="G206" t="str">
        <f t="shared" si="22"/>
        <v>Q3</v>
      </c>
      <c r="H206">
        <f>IF(AirQuality[[#This Row],[pm25  (ug/m3)]]&gt;15,1,0)</f>
        <v>1</v>
      </c>
      <c r="I206" t="str">
        <f t="shared" si="23"/>
        <v>unsafe</v>
      </c>
      <c r="J206">
        <f>IF(AirQuality[[#This Row],[Air Quality Status]]="unsafe",J205+1,0)</f>
        <v>205</v>
      </c>
    </row>
    <row r="207" spans="1:10" x14ac:dyDescent="0.3">
      <c r="A207" s="1">
        <v>44409</v>
      </c>
      <c r="B207">
        <v>150</v>
      </c>
      <c r="C207">
        <f t="shared" si="18"/>
        <v>2021</v>
      </c>
      <c r="D207" t="str">
        <f t="shared" si="19"/>
        <v>August</v>
      </c>
      <c r="E207">
        <f t="shared" si="20"/>
        <v>8</v>
      </c>
      <c r="F207" t="str">
        <f t="shared" si="21"/>
        <v>Aug 2021</v>
      </c>
      <c r="G207" t="str">
        <f t="shared" si="22"/>
        <v>Q3</v>
      </c>
      <c r="H207">
        <f>IF(AirQuality[[#This Row],[pm25  (ug/m3)]]&gt;15,1,0)</f>
        <v>1</v>
      </c>
      <c r="I207" t="str">
        <f t="shared" si="23"/>
        <v>unsafe</v>
      </c>
      <c r="J207">
        <f>IF(AirQuality[[#This Row],[Air Quality Status]]="unsafe",J206+1,0)</f>
        <v>206</v>
      </c>
    </row>
    <row r="208" spans="1:10" x14ac:dyDescent="0.3">
      <c r="A208" s="1">
        <v>44410</v>
      </c>
      <c r="B208">
        <v>150</v>
      </c>
      <c r="C208">
        <f t="shared" si="18"/>
        <v>2021</v>
      </c>
      <c r="D208" t="str">
        <f t="shared" si="19"/>
        <v>August</v>
      </c>
      <c r="E208">
        <f t="shared" si="20"/>
        <v>8</v>
      </c>
      <c r="F208" t="str">
        <f t="shared" si="21"/>
        <v>Aug 2021</v>
      </c>
      <c r="G208" t="str">
        <f t="shared" si="22"/>
        <v>Q3</v>
      </c>
      <c r="H208">
        <f>IF(AirQuality[[#This Row],[pm25  (ug/m3)]]&gt;15,1,0)</f>
        <v>1</v>
      </c>
      <c r="I208" t="str">
        <f t="shared" si="23"/>
        <v>unsafe</v>
      </c>
      <c r="J208">
        <f>IF(AirQuality[[#This Row],[Air Quality Status]]="unsafe",J207+1,0)</f>
        <v>207</v>
      </c>
    </row>
    <row r="209" spans="1:10" x14ac:dyDescent="0.3">
      <c r="A209" s="1">
        <v>44411</v>
      </c>
      <c r="B209">
        <v>148</v>
      </c>
      <c r="C209">
        <f t="shared" si="18"/>
        <v>2021</v>
      </c>
      <c r="D209" t="str">
        <f t="shared" si="19"/>
        <v>August</v>
      </c>
      <c r="E209">
        <f t="shared" si="20"/>
        <v>8</v>
      </c>
      <c r="F209" t="str">
        <f t="shared" si="21"/>
        <v>Aug 2021</v>
      </c>
      <c r="G209" t="str">
        <f t="shared" si="22"/>
        <v>Q3</v>
      </c>
      <c r="H209">
        <f>IF(AirQuality[[#This Row],[pm25  (ug/m3)]]&gt;15,1,0)</f>
        <v>1</v>
      </c>
      <c r="I209" t="str">
        <f t="shared" si="23"/>
        <v>unsafe</v>
      </c>
      <c r="J209">
        <f>IF(AirQuality[[#This Row],[Air Quality Status]]="unsafe",J208+1,0)</f>
        <v>208</v>
      </c>
    </row>
    <row r="210" spans="1:10" x14ac:dyDescent="0.3">
      <c r="A210" s="1">
        <v>44412</v>
      </c>
      <c r="B210">
        <v>149</v>
      </c>
      <c r="C210">
        <f t="shared" si="18"/>
        <v>2021</v>
      </c>
      <c r="D210" t="str">
        <f t="shared" si="19"/>
        <v>August</v>
      </c>
      <c r="E210">
        <f t="shared" si="20"/>
        <v>8</v>
      </c>
      <c r="F210" t="str">
        <f t="shared" si="21"/>
        <v>Aug 2021</v>
      </c>
      <c r="G210" t="str">
        <f t="shared" si="22"/>
        <v>Q3</v>
      </c>
      <c r="H210">
        <f>IF(AirQuality[[#This Row],[pm25  (ug/m3)]]&gt;15,1,0)</f>
        <v>1</v>
      </c>
      <c r="I210" t="str">
        <f t="shared" si="23"/>
        <v>unsafe</v>
      </c>
      <c r="J210">
        <f>IF(AirQuality[[#This Row],[Air Quality Status]]="unsafe",J209+1,0)</f>
        <v>209</v>
      </c>
    </row>
    <row r="211" spans="1:10" x14ac:dyDescent="0.3">
      <c r="A211" s="1">
        <v>44413</v>
      </c>
      <c r="B211">
        <v>151</v>
      </c>
      <c r="C211">
        <f t="shared" si="18"/>
        <v>2021</v>
      </c>
      <c r="D211" t="str">
        <f t="shared" si="19"/>
        <v>August</v>
      </c>
      <c r="E211">
        <f t="shared" si="20"/>
        <v>8</v>
      </c>
      <c r="F211" t="str">
        <f t="shared" si="21"/>
        <v>Aug 2021</v>
      </c>
      <c r="G211" t="str">
        <f t="shared" si="22"/>
        <v>Q3</v>
      </c>
      <c r="H211">
        <f>IF(AirQuality[[#This Row],[pm25  (ug/m3)]]&gt;15,1,0)</f>
        <v>1</v>
      </c>
      <c r="I211" t="str">
        <f t="shared" si="23"/>
        <v>unsafe</v>
      </c>
      <c r="J211">
        <f>IF(AirQuality[[#This Row],[Air Quality Status]]="unsafe",J210+1,0)</f>
        <v>210</v>
      </c>
    </row>
    <row r="212" spans="1:10" x14ac:dyDescent="0.3">
      <c r="A212" s="1">
        <v>44414</v>
      </c>
      <c r="B212">
        <v>151</v>
      </c>
      <c r="C212">
        <f t="shared" si="18"/>
        <v>2021</v>
      </c>
      <c r="D212" t="str">
        <f t="shared" si="19"/>
        <v>August</v>
      </c>
      <c r="E212">
        <f t="shared" si="20"/>
        <v>8</v>
      </c>
      <c r="F212" t="str">
        <f t="shared" si="21"/>
        <v>Aug 2021</v>
      </c>
      <c r="G212" t="str">
        <f t="shared" si="22"/>
        <v>Q3</v>
      </c>
      <c r="H212">
        <f>IF(AirQuality[[#This Row],[pm25  (ug/m3)]]&gt;15,1,0)</f>
        <v>1</v>
      </c>
      <c r="I212" t="str">
        <f t="shared" si="23"/>
        <v>unsafe</v>
      </c>
      <c r="J212">
        <f>IF(AirQuality[[#This Row],[Air Quality Status]]="unsafe",J211+1,0)</f>
        <v>211</v>
      </c>
    </row>
    <row r="213" spans="1:10" x14ac:dyDescent="0.3">
      <c r="A213" s="1">
        <v>44415</v>
      </c>
      <c r="B213">
        <v>152</v>
      </c>
      <c r="C213">
        <f t="shared" si="18"/>
        <v>2021</v>
      </c>
      <c r="D213" t="str">
        <f t="shared" si="19"/>
        <v>August</v>
      </c>
      <c r="E213">
        <f t="shared" si="20"/>
        <v>8</v>
      </c>
      <c r="F213" t="str">
        <f t="shared" si="21"/>
        <v>Aug 2021</v>
      </c>
      <c r="G213" t="str">
        <f t="shared" si="22"/>
        <v>Q3</v>
      </c>
      <c r="H213">
        <f>IF(AirQuality[[#This Row],[pm25  (ug/m3)]]&gt;15,1,0)</f>
        <v>1</v>
      </c>
      <c r="I213" t="str">
        <f t="shared" si="23"/>
        <v>unsafe</v>
      </c>
      <c r="J213">
        <f>IF(AirQuality[[#This Row],[Air Quality Status]]="unsafe",J212+1,0)</f>
        <v>212</v>
      </c>
    </row>
    <row r="214" spans="1:10" x14ac:dyDescent="0.3">
      <c r="A214" s="1">
        <v>44416</v>
      </c>
      <c r="B214">
        <v>152</v>
      </c>
      <c r="C214">
        <f t="shared" si="18"/>
        <v>2021</v>
      </c>
      <c r="D214" t="str">
        <f t="shared" si="19"/>
        <v>August</v>
      </c>
      <c r="E214">
        <f t="shared" si="20"/>
        <v>8</v>
      </c>
      <c r="F214" t="str">
        <f t="shared" si="21"/>
        <v>Aug 2021</v>
      </c>
      <c r="G214" t="str">
        <f t="shared" si="22"/>
        <v>Q3</v>
      </c>
      <c r="H214">
        <f>IF(AirQuality[[#This Row],[pm25  (ug/m3)]]&gt;15,1,0)</f>
        <v>1</v>
      </c>
      <c r="I214" t="str">
        <f t="shared" si="23"/>
        <v>unsafe</v>
      </c>
      <c r="J214">
        <f>IF(AirQuality[[#This Row],[Air Quality Status]]="unsafe",J213+1,0)</f>
        <v>213</v>
      </c>
    </row>
    <row r="215" spans="1:10" x14ac:dyDescent="0.3">
      <c r="A215" s="1">
        <v>44417</v>
      </c>
      <c r="B215">
        <v>150</v>
      </c>
      <c r="C215">
        <f t="shared" si="18"/>
        <v>2021</v>
      </c>
      <c r="D215" t="str">
        <f t="shared" si="19"/>
        <v>August</v>
      </c>
      <c r="E215">
        <f t="shared" si="20"/>
        <v>8</v>
      </c>
      <c r="F215" t="str">
        <f t="shared" si="21"/>
        <v>Aug 2021</v>
      </c>
      <c r="G215" t="str">
        <f t="shared" si="22"/>
        <v>Q3</v>
      </c>
      <c r="H215">
        <f>IF(AirQuality[[#This Row],[pm25  (ug/m3)]]&gt;15,1,0)</f>
        <v>1</v>
      </c>
      <c r="I215" t="str">
        <f t="shared" si="23"/>
        <v>unsafe</v>
      </c>
      <c r="J215">
        <f>IF(AirQuality[[#This Row],[Air Quality Status]]="unsafe",J214+1,0)</f>
        <v>214</v>
      </c>
    </row>
    <row r="216" spans="1:10" x14ac:dyDescent="0.3">
      <c r="A216" s="1">
        <v>44418</v>
      </c>
      <c r="B216">
        <v>152</v>
      </c>
      <c r="C216">
        <f t="shared" si="18"/>
        <v>2021</v>
      </c>
      <c r="D216" t="str">
        <f t="shared" si="19"/>
        <v>August</v>
      </c>
      <c r="E216">
        <f t="shared" si="20"/>
        <v>8</v>
      </c>
      <c r="F216" t="str">
        <f t="shared" si="21"/>
        <v>Aug 2021</v>
      </c>
      <c r="G216" t="str">
        <f t="shared" si="22"/>
        <v>Q3</v>
      </c>
      <c r="H216">
        <f>IF(AirQuality[[#This Row],[pm25  (ug/m3)]]&gt;15,1,0)</f>
        <v>1</v>
      </c>
      <c r="I216" t="str">
        <f t="shared" si="23"/>
        <v>unsafe</v>
      </c>
      <c r="J216">
        <f>IF(AirQuality[[#This Row],[Air Quality Status]]="unsafe",J215+1,0)</f>
        <v>215</v>
      </c>
    </row>
    <row r="217" spans="1:10" x14ac:dyDescent="0.3">
      <c r="A217" s="1">
        <v>44419</v>
      </c>
      <c r="B217">
        <v>152</v>
      </c>
      <c r="C217">
        <f t="shared" si="18"/>
        <v>2021</v>
      </c>
      <c r="D217" t="str">
        <f t="shared" si="19"/>
        <v>August</v>
      </c>
      <c r="E217">
        <f t="shared" si="20"/>
        <v>8</v>
      </c>
      <c r="F217" t="str">
        <f t="shared" si="21"/>
        <v>Aug 2021</v>
      </c>
      <c r="G217" t="str">
        <f t="shared" si="22"/>
        <v>Q3</v>
      </c>
      <c r="H217">
        <f>IF(AirQuality[[#This Row],[pm25  (ug/m3)]]&gt;15,1,0)</f>
        <v>1</v>
      </c>
      <c r="I217" t="str">
        <f t="shared" si="23"/>
        <v>unsafe</v>
      </c>
      <c r="J217">
        <f>IF(AirQuality[[#This Row],[Air Quality Status]]="unsafe",J216+1,0)</f>
        <v>216</v>
      </c>
    </row>
    <row r="218" spans="1:10" x14ac:dyDescent="0.3">
      <c r="A218" s="1">
        <v>44420</v>
      </c>
      <c r="B218">
        <v>152</v>
      </c>
      <c r="C218">
        <f t="shared" si="18"/>
        <v>2021</v>
      </c>
      <c r="D218" t="str">
        <f t="shared" si="19"/>
        <v>August</v>
      </c>
      <c r="E218">
        <f t="shared" si="20"/>
        <v>8</v>
      </c>
      <c r="F218" t="str">
        <f t="shared" si="21"/>
        <v>Aug 2021</v>
      </c>
      <c r="G218" t="str">
        <f t="shared" si="22"/>
        <v>Q3</v>
      </c>
      <c r="H218">
        <f>IF(AirQuality[[#This Row],[pm25  (ug/m3)]]&gt;15,1,0)</f>
        <v>1</v>
      </c>
      <c r="I218" t="str">
        <f t="shared" si="23"/>
        <v>unsafe</v>
      </c>
      <c r="J218">
        <f>IF(AirQuality[[#This Row],[Air Quality Status]]="unsafe",J217+1,0)</f>
        <v>217</v>
      </c>
    </row>
    <row r="219" spans="1:10" x14ac:dyDescent="0.3">
      <c r="A219" s="1">
        <v>44421</v>
      </c>
      <c r="B219">
        <v>150</v>
      </c>
      <c r="C219">
        <f t="shared" si="18"/>
        <v>2021</v>
      </c>
      <c r="D219" t="str">
        <f t="shared" si="19"/>
        <v>August</v>
      </c>
      <c r="E219">
        <f t="shared" si="20"/>
        <v>8</v>
      </c>
      <c r="F219" t="str">
        <f t="shared" si="21"/>
        <v>Aug 2021</v>
      </c>
      <c r="G219" t="str">
        <f t="shared" si="22"/>
        <v>Q3</v>
      </c>
      <c r="H219">
        <f>IF(AirQuality[[#This Row],[pm25  (ug/m3)]]&gt;15,1,0)</f>
        <v>1</v>
      </c>
      <c r="I219" t="str">
        <f t="shared" si="23"/>
        <v>unsafe</v>
      </c>
      <c r="J219">
        <f>IF(AirQuality[[#This Row],[Air Quality Status]]="unsafe",J218+1,0)</f>
        <v>218</v>
      </c>
    </row>
    <row r="220" spans="1:10" x14ac:dyDescent="0.3">
      <c r="A220" s="1">
        <v>44422</v>
      </c>
      <c r="B220">
        <v>150</v>
      </c>
      <c r="C220">
        <f t="shared" si="18"/>
        <v>2021</v>
      </c>
      <c r="D220" t="str">
        <f t="shared" si="19"/>
        <v>August</v>
      </c>
      <c r="E220">
        <f t="shared" si="20"/>
        <v>8</v>
      </c>
      <c r="F220" t="str">
        <f t="shared" si="21"/>
        <v>Aug 2021</v>
      </c>
      <c r="G220" t="str">
        <f t="shared" si="22"/>
        <v>Q3</v>
      </c>
      <c r="H220">
        <f>IF(AirQuality[[#This Row],[pm25  (ug/m3)]]&gt;15,1,0)</f>
        <v>1</v>
      </c>
      <c r="I220" t="str">
        <f t="shared" si="23"/>
        <v>unsafe</v>
      </c>
      <c r="J220">
        <f>IF(AirQuality[[#This Row],[Air Quality Status]]="unsafe",J219+1,0)</f>
        <v>219</v>
      </c>
    </row>
    <row r="221" spans="1:10" x14ac:dyDescent="0.3">
      <c r="A221" s="1">
        <v>44423</v>
      </c>
      <c r="B221">
        <v>150</v>
      </c>
      <c r="C221">
        <f t="shared" si="18"/>
        <v>2021</v>
      </c>
      <c r="D221" t="str">
        <f t="shared" si="19"/>
        <v>August</v>
      </c>
      <c r="E221">
        <f t="shared" si="20"/>
        <v>8</v>
      </c>
      <c r="F221" t="str">
        <f t="shared" si="21"/>
        <v>Aug 2021</v>
      </c>
      <c r="G221" t="str">
        <f t="shared" si="22"/>
        <v>Q3</v>
      </c>
      <c r="H221">
        <f>IF(AirQuality[[#This Row],[pm25  (ug/m3)]]&gt;15,1,0)</f>
        <v>1</v>
      </c>
      <c r="I221" t="str">
        <f t="shared" si="23"/>
        <v>unsafe</v>
      </c>
      <c r="J221">
        <f>IF(AirQuality[[#This Row],[Air Quality Status]]="unsafe",J220+1,0)</f>
        <v>220</v>
      </c>
    </row>
    <row r="222" spans="1:10" x14ac:dyDescent="0.3">
      <c r="A222" s="1">
        <v>44424</v>
      </c>
      <c r="B222">
        <v>150</v>
      </c>
      <c r="C222">
        <f t="shared" si="18"/>
        <v>2021</v>
      </c>
      <c r="D222" t="str">
        <f t="shared" si="19"/>
        <v>August</v>
      </c>
      <c r="E222">
        <f t="shared" si="20"/>
        <v>8</v>
      </c>
      <c r="F222" t="str">
        <f t="shared" si="21"/>
        <v>Aug 2021</v>
      </c>
      <c r="G222" t="str">
        <f t="shared" si="22"/>
        <v>Q3</v>
      </c>
      <c r="H222">
        <f>IF(AirQuality[[#This Row],[pm25  (ug/m3)]]&gt;15,1,0)</f>
        <v>1</v>
      </c>
      <c r="I222" t="str">
        <f t="shared" si="23"/>
        <v>unsafe</v>
      </c>
      <c r="J222">
        <f>IF(AirQuality[[#This Row],[Air Quality Status]]="unsafe",J221+1,0)</f>
        <v>221</v>
      </c>
    </row>
    <row r="223" spans="1:10" x14ac:dyDescent="0.3">
      <c r="A223" s="1">
        <v>44425</v>
      </c>
      <c r="B223">
        <v>151</v>
      </c>
      <c r="C223">
        <f t="shared" si="18"/>
        <v>2021</v>
      </c>
      <c r="D223" t="str">
        <f t="shared" si="19"/>
        <v>August</v>
      </c>
      <c r="E223">
        <f t="shared" si="20"/>
        <v>8</v>
      </c>
      <c r="F223" t="str">
        <f t="shared" si="21"/>
        <v>Aug 2021</v>
      </c>
      <c r="G223" t="str">
        <f t="shared" si="22"/>
        <v>Q3</v>
      </c>
      <c r="H223">
        <f>IF(AirQuality[[#This Row],[pm25  (ug/m3)]]&gt;15,1,0)</f>
        <v>1</v>
      </c>
      <c r="I223" t="str">
        <f t="shared" si="23"/>
        <v>unsafe</v>
      </c>
      <c r="J223">
        <f>IF(AirQuality[[#This Row],[Air Quality Status]]="unsafe",J222+1,0)</f>
        <v>222</v>
      </c>
    </row>
    <row r="224" spans="1:10" x14ac:dyDescent="0.3">
      <c r="A224" s="1">
        <v>44426</v>
      </c>
      <c r="B224">
        <v>151</v>
      </c>
      <c r="C224">
        <f t="shared" si="18"/>
        <v>2021</v>
      </c>
      <c r="D224" t="str">
        <f t="shared" si="19"/>
        <v>August</v>
      </c>
      <c r="E224">
        <f t="shared" si="20"/>
        <v>8</v>
      </c>
      <c r="F224" t="str">
        <f t="shared" si="21"/>
        <v>Aug 2021</v>
      </c>
      <c r="G224" t="str">
        <f t="shared" si="22"/>
        <v>Q3</v>
      </c>
      <c r="H224">
        <f>IF(AirQuality[[#This Row],[pm25  (ug/m3)]]&gt;15,1,0)</f>
        <v>1</v>
      </c>
      <c r="I224" t="str">
        <f t="shared" si="23"/>
        <v>unsafe</v>
      </c>
      <c r="J224">
        <f>IF(AirQuality[[#This Row],[Air Quality Status]]="unsafe",J223+1,0)</f>
        <v>223</v>
      </c>
    </row>
    <row r="225" spans="1:10" x14ac:dyDescent="0.3">
      <c r="A225" s="1">
        <v>44427</v>
      </c>
      <c r="B225">
        <v>151</v>
      </c>
      <c r="C225">
        <f t="shared" si="18"/>
        <v>2021</v>
      </c>
      <c r="D225" t="str">
        <f t="shared" si="19"/>
        <v>August</v>
      </c>
      <c r="E225">
        <f t="shared" si="20"/>
        <v>8</v>
      </c>
      <c r="F225" t="str">
        <f t="shared" si="21"/>
        <v>Aug 2021</v>
      </c>
      <c r="G225" t="str">
        <f t="shared" si="22"/>
        <v>Q3</v>
      </c>
      <c r="H225">
        <f>IF(AirQuality[[#This Row],[pm25  (ug/m3)]]&gt;15,1,0)</f>
        <v>1</v>
      </c>
      <c r="I225" t="str">
        <f t="shared" si="23"/>
        <v>unsafe</v>
      </c>
      <c r="J225">
        <f>IF(AirQuality[[#This Row],[Air Quality Status]]="unsafe",J224+1,0)</f>
        <v>224</v>
      </c>
    </row>
    <row r="226" spans="1:10" x14ac:dyDescent="0.3">
      <c r="A226" s="1">
        <v>44428</v>
      </c>
      <c r="B226">
        <v>151</v>
      </c>
      <c r="C226">
        <f t="shared" si="18"/>
        <v>2021</v>
      </c>
      <c r="D226" t="str">
        <f t="shared" si="19"/>
        <v>August</v>
      </c>
      <c r="E226">
        <f t="shared" si="20"/>
        <v>8</v>
      </c>
      <c r="F226" t="str">
        <f t="shared" si="21"/>
        <v>Aug 2021</v>
      </c>
      <c r="G226" t="str">
        <f t="shared" si="22"/>
        <v>Q3</v>
      </c>
      <c r="H226">
        <f>IF(AirQuality[[#This Row],[pm25  (ug/m3)]]&gt;15,1,0)</f>
        <v>1</v>
      </c>
      <c r="I226" t="str">
        <f t="shared" si="23"/>
        <v>unsafe</v>
      </c>
      <c r="J226">
        <f>IF(AirQuality[[#This Row],[Air Quality Status]]="unsafe",J225+1,0)</f>
        <v>225</v>
      </c>
    </row>
    <row r="227" spans="1:10" x14ac:dyDescent="0.3">
      <c r="A227" s="1">
        <v>44429</v>
      </c>
      <c r="B227">
        <v>150</v>
      </c>
      <c r="C227">
        <f t="shared" si="18"/>
        <v>2021</v>
      </c>
      <c r="D227" t="str">
        <f t="shared" si="19"/>
        <v>August</v>
      </c>
      <c r="E227">
        <f t="shared" si="20"/>
        <v>8</v>
      </c>
      <c r="F227" t="str">
        <f t="shared" si="21"/>
        <v>Aug 2021</v>
      </c>
      <c r="G227" t="str">
        <f t="shared" si="22"/>
        <v>Q3</v>
      </c>
      <c r="H227">
        <f>IF(AirQuality[[#This Row],[pm25  (ug/m3)]]&gt;15,1,0)</f>
        <v>1</v>
      </c>
      <c r="I227" t="str">
        <f t="shared" si="23"/>
        <v>unsafe</v>
      </c>
      <c r="J227">
        <f>IF(AirQuality[[#This Row],[Air Quality Status]]="unsafe",J226+1,0)</f>
        <v>226</v>
      </c>
    </row>
    <row r="228" spans="1:10" x14ac:dyDescent="0.3">
      <c r="A228" s="1">
        <v>44430</v>
      </c>
      <c r="B228">
        <v>151</v>
      </c>
      <c r="C228">
        <f t="shared" si="18"/>
        <v>2021</v>
      </c>
      <c r="D228" t="str">
        <f t="shared" si="19"/>
        <v>August</v>
      </c>
      <c r="E228">
        <f t="shared" si="20"/>
        <v>8</v>
      </c>
      <c r="F228" t="str">
        <f t="shared" si="21"/>
        <v>Aug 2021</v>
      </c>
      <c r="G228" t="str">
        <f t="shared" si="22"/>
        <v>Q3</v>
      </c>
      <c r="H228">
        <f>IF(AirQuality[[#This Row],[pm25  (ug/m3)]]&gt;15,1,0)</f>
        <v>1</v>
      </c>
      <c r="I228" t="str">
        <f t="shared" si="23"/>
        <v>unsafe</v>
      </c>
      <c r="J228">
        <f>IF(AirQuality[[#This Row],[Air Quality Status]]="unsafe",J227+1,0)</f>
        <v>227</v>
      </c>
    </row>
    <row r="229" spans="1:10" x14ac:dyDescent="0.3">
      <c r="A229" s="1">
        <v>44431</v>
      </c>
      <c r="B229">
        <v>153</v>
      </c>
      <c r="C229">
        <f t="shared" si="18"/>
        <v>2021</v>
      </c>
      <c r="D229" t="str">
        <f t="shared" si="19"/>
        <v>August</v>
      </c>
      <c r="E229">
        <f t="shared" si="20"/>
        <v>8</v>
      </c>
      <c r="F229" t="str">
        <f t="shared" si="21"/>
        <v>Aug 2021</v>
      </c>
      <c r="G229" t="str">
        <f t="shared" si="22"/>
        <v>Q3</v>
      </c>
      <c r="H229">
        <f>IF(AirQuality[[#This Row],[pm25  (ug/m3)]]&gt;15,1,0)</f>
        <v>1</v>
      </c>
      <c r="I229" t="str">
        <f t="shared" si="23"/>
        <v>unsafe</v>
      </c>
      <c r="J229">
        <f>IF(AirQuality[[#This Row],[Air Quality Status]]="unsafe",J228+1,0)</f>
        <v>228</v>
      </c>
    </row>
    <row r="230" spans="1:10" x14ac:dyDescent="0.3">
      <c r="A230" s="1">
        <v>44432</v>
      </c>
      <c r="B230">
        <v>146</v>
      </c>
      <c r="C230">
        <f t="shared" si="18"/>
        <v>2021</v>
      </c>
      <c r="D230" t="str">
        <f t="shared" si="19"/>
        <v>August</v>
      </c>
      <c r="E230">
        <f t="shared" si="20"/>
        <v>8</v>
      </c>
      <c r="F230" t="str">
        <f t="shared" si="21"/>
        <v>Aug 2021</v>
      </c>
      <c r="G230" t="str">
        <f t="shared" si="22"/>
        <v>Q3</v>
      </c>
      <c r="H230">
        <f>IF(AirQuality[[#This Row],[pm25  (ug/m3)]]&gt;15,1,0)</f>
        <v>1</v>
      </c>
      <c r="I230" t="str">
        <f t="shared" si="23"/>
        <v>unsafe</v>
      </c>
      <c r="J230">
        <f>IF(AirQuality[[#This Row],[Air Quality Status]]="unsafe",J229+1,0)</f>
        <v>229</v>
      </c>
    </row>
    <row r="231" spans="1:10" x14ac:dyDescent="0.3">
      <c r="A231" s="1">
        <v>44433</v>
      </c>
      <c r="B231">
        <v>148</v>
      </c>
      <c r="C231">
        <f t="shared" si="18"/>
        <v>2021</v>
      </c>
      <c r="D231" t="str">
        <f t="shared" si="19"/>
        <v>August</v>
      </c>
      <c r="E231">
        <f t="shared" si="20"/>
        <v>8</v>
      </c>
      <c r="F231" t="str">
        <f t="shared" si="21"/>
        <v>Aug 2021</v>
      </c>
      <c r="G231" t="str">
        <f t="shared" si="22"/>
        <v>Q3</v>
      </c>
      <c r="H231">
        <f>IF(AirQuality[[#This Row],[pm25  (ug/m3)]]&gt;15,1,0)</f>
        <v>1</v>
      </c>
      <c r="I231" t="str">
        <f t="shared" si="23"/>
        <v>unsafe</v>
      </c>
      <c r="J231">
        <f>IF(AirQuality[[#This Row],[Air Quality Status]]="unsafe",J230+1,0)</f>
        <v>230</v>
      </c>
    </row>
    <row r="232" spans="1:10" x14ac:dyDescent="0.3">
      <c r="A232" s="1">
        <v>44434</v>
      </c>
      <c r="B232">
        <v>151</v>
      </c>
      <c r="C232">
        <f t="shared" si="18"/>
        <v>2021</v>
      </c>
      <c r="D232" t="str">
        <f t="shared" si="19"/>
        <v>August</v>
      </c>
      <c r="E232">
        <f t="shared" si="20"/>
        <v>8</v>
      </c>
      <c r="F232" t="str">
        <f t="shared" si="21"/>
        <v>Aug 2021</v>
      </c>
      <c r="G232" t="str">
        <f t="shared" si="22"/>
        <v>Q3</v>
      </c>
      <c r="H232">
        <f>IF(AirQuality[[#This Row],[pm25  (ug/m3)]]&gt;15,1,0)</f>
        <v>1</v>
      </c>
      <c r="I232" t="str">
        <f t="shared" si="23"/>
        <v>unsafe</v>
      </c>
      <c r="J232">
        <f>IF(AirQuality[[#This Row],[Air Quality Status]]="unsafe",J231+1,0)</f>
        <v>231</v>
      </c>
    </row>
    <row r="233" spans="1:10" x14ac:dyDescent="0.3">
      <c r="A233" s="1">
        <v>44435</v>
      </c>
      <c r="B233">
        <v>148</v>
      </c>
      <c r="C233">
        <f t="shared" si="18"/>
        <v>2021</v>
      </c>
      <c r="D233" t="str">
        <f t="shared" si="19"/>
        <v>August</v>
      </c>
      <c r="E233">
        <f t="shared" si="20"/>
        <v>8</v>
      </c>
      <c r="F233" t="str">
        <f t="shared" si="21"/>
        <v>Aug 2021</v>
      </c>
      <c r="G233" t="str">
        <f t="shared" si="22"/>
        <v>Q3</v>
      </c>
      <c r="H233">
        <f>IF(AirQuality[[#This Row],[pm25  (ug/m3)]]&gt;15,1,0)</f>
        <v>1</v>
      </c>
      <c r="I233" t="str">
        <f t="shared" si="23"/>
        <v>unsafe</v>
      </c>
      <c r="J233">
        <f>IF(AirQuality[[#This Row],[Air Quality Status]]="unsafe",J232+1,0)</f>
        <v>232</v>
      </c>
    </row>
    <row r="234" spans="1:10" x14ac:dyDescent="0.3">
      <c r="A234" s="1">
        <v>44436</v>
      </c>
      <c r="B234">
        <v>148</v>
      </c>
      <c r="C234">
        <f t="shared" si="18"/>
        <v>2021</v>
      </c>
      <c r="D234" t="str">
        <f t="shared" si="19"/>
        <v>August</v>
      </c>
      <c r="E234">
        <f t="shared" si="20"/>
        <v>8</v>
      </c>
      <c r="F234" t="str">
        <f t="shared" si="21"/>
        <v>Aug 2021</v>
      </c>
      <c r="G234" t="str">
        <f t="shared" si="22"/>
        <v>Q3</v>
      </c>
      <c r="H234">
        <f>IF(AirQuality[[#This Row],[pm25  (ug/m3)]]&gt;15,1,0)</f>
        <v>1</v>
      </c>
      <c r="I234" t="str">
        <f t="shared" si="23"/>
        <v>unsafe</v>
      </c>
      <c r="J234">
        <f>IF(AirQuality[[#This Row],[Air Quality Status]]="unsafe",J233+1,0)</f>
        <v>233</v>
      </c>
    </row>
    <row r="235" spans="1:10" x14ac:dyDescent="0.3">
      <c r="A235" s="1">
        <v>44437</v>
      </c>
      <c r="B235">
        <v>147</v>
      </c>
      <c r="C235">
        <f t="shared" si="18"/>
        <v>2021</v>
      </c>
      <c r="D235" t="str">
        <f t="shared" si="19"/>
        <v>August</v>
      </c>
      <c r="E235">
        <f t="shared" si="20"/>
        <v>8</v>
      </c>
      <c r="F235" t="str">
        <f t="shared" si="21"/>
        <v>Aug 2021</v>
      </c>
      <c r="G235" t="str">
        <f t="shared" si="22"/>
        <v>Q3</v>
      </c>
      <c r="H235">
        <f>IF(AirQuality[[#This Row],[pm25  (ug/m3)]]&gt;15,1,0)</f>
        <v>1</v>
      </c>
      <c r="I235" t="str">
        <f t="shared" si="23"/>
        <v>unsafe</v>
      </c>
      <c r="J235">
        <f>IF(AirQuality[[#This Row],[Air Quality Status]]="unsafe",J234+1,0)</f>
        <v>234</v>
      </c>
    </row>
    <row r="236" spans="1:10" x14ac:dyDescent="0.3">
      <c r="A236" s="1">
        <v>44438</v>
      </c>
      <c r="B236">
        <v>148</v>
      </c>
      <c r="C236">
        <f t="shared" si="18"/>
        <v>2021</v>
      </c>
      <c r="D236" t="str">
        <f t="shared" si="19"/>
        <v>August</v>
      </c>
      <c r="E236">
        <f t="shared" si="20"/>
        <v>8</v>
      </c>
      <c r="F236" t="str">
        <f t="shared" si="21"/>
        <v>Aug 2021</v>
      </c>
      <c r="G236" t="str">
        <f t="shared" si="22"/>
        <v>Q3</v>
      </c>
      <c r="H236">
        <f>IF(AirQuality[[#This Row],[pm25  (ug/m3)]]&gt;15,1,0)</f>
        <v>1</v>
      </c>
      <c r="I236" t="str">
        <f t="shared" si="23"/>
        <v>unsafe</v>
      </c>
      <c r="J236">
        <f>IF(AirQuality[[#This Row],[Air Quality Status]]="unsafe",J235+1,0)</f>
        <v>235</v>
      </c>
    </row>
    <row r="237" spans="1:10" x14ac:dyDescent="0.3">
      <c r="A237" s="1">
        <v>44439</v>
      </c>
      <c r="B237">
        <v>143</v>
      </c>
      <c r="C237">
        <f t="shared" si="18"/>
        <v>2021</v>
      </c>
      <c r="D237" t="str">
        <f t="shared" si="19"/>
        <v>August</v>
      </c>
      <c r="E237">
        <f t="shared" si="20"/>
        <v>8</v>
      </c>
      <c r="F237" t="str">
        <f t="shared" si="21"/>
        <v>Aug 2021</v>
      </c>
      <c r="G237" t="str">
        <f t="shared" si="22"/>
        <v>Q3</v>
      </c>
      <c r="H237">
        <f>IF(AirQuality[[#This Row],[pm25  (ug/m3)]]&gt;15,1,0)</f>
        <v>1</v>
      </c>
      <c r="I237" t="str">
        <f t="shared" si="23"/>
        <v>unsafe</v>
      </c>
      <c r="J237">
        <f>IF(AirQuality[[#This Row],[Air Quality Status]]="unsafe",J236+1,0)</f>
        <v>236</v>
      </c>
    </row>
    <row r="238" spans="1:10" x14ac:dyDescent="0.3">
      <c r="A238" s="1">
        <v>44440</v>
      </c>
      <c r="B238">
        <v>144</v>
      </c>
      <c r="C238">
        <f t="shared" si="18"/>
        <v>2021</v>
      </c>
      <c r="D238" t="str">
        <f t="shared" si="19"/>
        <v>September</v>
      </c>
      <c r="E238">
        <f t="shared" si="20"/>
        <v>9</v>
      </c>
      <c r="F238" t="str">
        <f t="shared" si="21"/>
        <v>Sept 2021</v>
      </c>
      <c r="G238" t="str">
        <f t="shared" si="22"/>
        <v>Q3</v>
      </c>
      <c r="H238">
        <f>IF(AirQuality[[#This Row],[pm25  (ug/m3)]]&gt;15,1,0)</f>
        <v>1</v>
      </c>
      <c r="I238" t="str">
        <f t="shared" si="23"/>
        <v>unsafe</v>
      </c>
      <c r="J238">
        <f>IF(AirQuality[[#This Row],[Air Quality Status]]="unsafe",J237+1,0)</f>
        <v>237</v>
      </c>
    </row>
    <row r="239" spans="1:10" x14ac:dyDescent="0.3">
      <c r="A239" s="1">
        <v>44442</v>
      </c>
      <c r="B239">
        <v>154</v>
      </c>
      <c r="C239">
        <f t="shared" si="18"/>
        <v>2021</v>
      </c>
      <c r="D239" t="str">
        <f t="shared" si="19"/>
        <v>September</v>
      </c>
      <c r="E239">
        <f t="shared" si="20"/>
        <v>9</v>
      </c>
      <c r="F239" t="str">
        <f t="shared" si="21"/>
        <v>Sept 2021</v>
      </c>
      <c r="G239" t="str">
        <f t="shared" si="22"/>
        <v>Q3</v>
      </c>
      <c r="H239">
        <f>IF(AirQuality[[#This Row],[pm25  (ug/m3)]]&gt;15,1,0)</f>
        <v>1</v>
      </c>
      <c r="I239" t="str">
        <f t="shared" si="23"/>
        <v>unsafe</v>
      </c>
      <c r="J239">
        <f>IF(AirQuality[[#This Row],[Air Quality Status]]="unsafe",J238+1,0)</f>
        <v>238</v>
      </c>
    </row>
    <row r="240" spans="1:10" x14ac:dyDescent="0.3">
      <c r="A240" s="1">
        <v>44443</v>
      </c>
      <c r="B240">
        <v>154</v>
      </c>
      <c r="C240">
        <f t="shared" si="18"/>
        <v>2021</v>
      </c>
      <c r="D240" t="str">
        <f t="shared" si="19"/>
        <v>September</v>
      </c>
      <c r="E240">
        <f t="shared" si="20"/>
        <v>9</v>
      </c>
      <c r="F240" t="str">
        <f t="shared" si="21"/>
        <v>Sept 2021</v>
      </c>
      <c r="G240" t="str">
        <f t="shared" si="22"/>
        <v>Q3</v>
      </c>
      <c r="H240">
        <f>IF(AirQuality[[#This Row],[pm25  (ug/m3)]]&gt;15,1,0)</f>
        <v>1</v>
      </c>
      <c r="I240" t="str">
        <f t="shared" si="23"/>
        <v>unsafe</v>
      </c>
      <c r="J240">
        <f>IF(AirQuality[[#This Row],[Air Quality Status]]="unsafe",J239+1,0)</f>
        <v>239</v>
      </c>
    </row>
    <row r="241" spans="1:10" x14ac:dyDescent="0.3">
      <c r="A241" s="1">
        <v>44444</v>
      </c>
      <c r="B241">
        <v>152</v>
      </c>
      <c r="C241">
        <f t="shared" si="18"/>
        <v>2021</v>
      </c>
      <c r="D241" t="str">
        <f t="shared" si="19"/>
        <v>September</v>
      </c>
      <c r="E241">
        <f t="shared" si="20"/>
        <v>9</v>
      </c>
      <c r="F241" t="str">
        <f t="shared" si="21"/>
        <v>Sept 2021</v>
      </c>
      <c r="G241" t="str">
        <f t="shared" si="22"/>
        <v>Q3</v>
      </c>
      <c r="H241">
        <f>IF(AirQuality[[#This Row],[pm25  (ug/m3)]]&gt;15,1,0)</f>
        <v>1</v>
      </c>
      <c r="I241" t="str">
        <f t="shared" si="23"/>
        <v>unsafe</v>
      </c>
      <c r="J241">
        <f>IF(AirQuality[[#This Row],[Air Quality Status]]="unsafe",J240+1,0)</f>
        <v>240</v>
      </c>
    </row>
    <row r="242" spans="1:10" x14ac:dyDescent="0.3">
      <c r="A242" s="1">
        <v>44445</v>
      </c>
      <c r="B242">
        <v>150</v>
      </c>
      <c r="C242">
        <f t="shared" si="18"/>
        <v>2021</v>
      </c>
      <c r="D242" t="str">
        <f t="shared" si="19"/>
        <v>September</v>
      </c>
      <c r="E242">
        <f t="shared" si="20"/>
        <v>9</v>
      </c>
      <c r="F242" t="str">
        <f t="shared" si="21"/>
        <v>Sept 2021</v>
      </c>
      <c r="G242" t="str">
        <f t="shared" si="22"/>
        <v>Q3</v>
      </c>
      <c r="H242">
        <f>IF(AirQuality[[#This Row],[pm25  (ug/m3)]]&gt;15,1,0)</f>
        <v>1</v>
      </c>
      <c r="I242" t="str">
        <f t="shared" si="23"/>
        <v>unsafe</v>
      </c>
      <c r="J242">
        <f>IF(AirQuality[[#This Row],[Air Quality Status]]="unsafe",J241+1,0)</f>
        <v>241</v>
      </c>
    </row>
    <row r="243" spans="1:10" x14ac:dyDescent="0.3">
      <c r="A243" s="1">
        <v>44446</v>
      </c>
      <c r="B243">
        <v>149</v>
      </c>
      <c r="C243">
        <f t="shared" si="18"/>
        <v>2021</v>
      </c>
      <c r="D243" t="str">
        <f t="shared" si="19"/>
        <v>September</v>
      </c>
      <c r="E243">
        <f t="shared" si="20"/>
        <v>9</v>
      </c>
      <c r="F243" t="str">
        <f t="shared" si="21"/>
        <v>Sept 2021</v>
      </c>
      <c r="G243" t="str">
        <f t="shared" si="22"/>
        <v>Q3</v>
      </c>
      <c r="H243">
        <f>IF(AirQuality[[#This Row],[pm25  (ug/m3)]]&gt;15,1,0)</f>
        <v>1</v>
      </c>
      <c r="I243" t="str">
        <f t="shared" si="23"/>
        <v>unsafe</v>
      </c>
      <c r="J243">
        <f>IF(AirQuality[[#This Row],[Air Quality Status]]="unsafe",J242+1,0)</f>
        <v>242</v>
      </c>
    </row>
    <row r="244" spans="1:10" x14ac:dyDescent="0.3">
      <c r="A244" s="1">
        <v>44447</v>
      </c>
      <c r="B244">
        <v>146</v>
      </c>
      <c r="C244">
        <f t="shared" si="18"/>
        <v>2021</v>
      </c>
      <c r="D244" t="str">
        <f t="shared" si="19"/>
        <v>September</v>
      </c>
      <c r="E244">
        <f t="shared" si="20"/>
        <v>9</v>
      </c>
      <c r="F244" t="str">
        <f t="shared" si="21"/>
        <v>Sept 2021</v>
      </c>
      <c r="G244" t="str">
        <f t="shared" si="22"/>
        <v>Q3</v>
      </c>
      <c r="H244">
        <f>IF(AirQuality[[#This Row],[pm25  (ug/m3)]]&gt;15,1,0)</f>
        <v>1</v>
      </c>
      <c r="I244" t="str">
        <f t="shared" si="23"/>
        <v>unsafe</v>
      </c>
      <c r="J244">
        <f>IF(AirQuality[[#This Row],[Air Quality Status]]="unsafe",J243+1,0)</f>
        <v>243</v>
      </c>
    </row>
    <row r="245" spans="1:10" x14ac:dyDescent="0.3">
      <c r="A245" s="1">
        <v>44448</v>
      </c>
      <c r="B245">
        <v>147</v>
      </c>
      <c r="C245">
        <f t="shared" si="18"/>
        <v>2021</v>
      </c>
      <c r="D245" t="str">
        <f t="shared" si="19"/>
        <v>September</v>
      </c>
      <c r="E245">
        <f t="shared" si="20"/>
        <v>9</v>
      </c>
      <c r="F245" t="str">
        <f t="shared" si="21"/>
        <v>Sept 2021</v>
      </c>
      <c r="G245" t="str">
        <f t="shared" si="22"/>
        <v>Q3</v>
      </c>
      <c r="H245">
        <f>IF(AirQuality[[#This Row],[pm25  (ug/m3)]]&gt;15,1,0)</f>
        <v>1</v>
      </c>
      <c r="I245" t="str">
        <f t="shared" si="23"/>
        <v>unsafe</v>
      </c>
      <c r="J245">
        <f>IF(AirQuality[[#This Row],[Air Quality Status]]="unsafe",J244+1,0)</f>
        <v>244</v>
      </c>
    </row>
    <row r="246" spans="1:10" x14ac:dyDescent="0.3">
      <c r="A246" s="1">
        <v>44449</v>
      </c>
      <c r="B246">
        <v>146</v>
      </c>
      <c r="C246">
        <f t="shared" si="18"/>
        <v>2021</v>
      </c>
      <c r="D246" t="str">
        <f t="shared" si="19"/>
        <v>September</v>
      </c>
      <c r="E246">
        <f t="shared" si="20"/>
        <v>9</v>
      </c>
      <c r="F246" t="str">
        <f t="shared" si="21"/>
        <v>Sept 2021</v>
      </c>
      <c r="G246" t="str">
        <f t="shared" si="22"/>
        <v>Q3</v>
      </c>
      <c r="H246">
        <f>IF(AirQuality[[#This Row],[pm25  (ug/m3)]]&gt;15,1,0)</f>
        <v>1</v>
      </c>
      <c r="I246" t="str">
        <f t="shared" si="23"/>
        <v>unsafe</v>
      </c>
      <c r="J246">
        <f>IF(AirQuality[[#This Row],[Air Quality Status]]="unsafe",J245+1,0)</f>
        <v>245</v>
      </c>
    </row>
    <row r="247" spans="1:10" x14ac:dyDescent="0.3">
      <c r="A247" s="1">
        <v>44450</v>
      </c>
      <c r="B247">
        <v>152</v>
      </c>
      <c r="C247">
        <f t="shared" si="18"/>
        <v>2021</v>
      </c>
      <c r="D247" t="str">
        <f t="shared" si="19"/>
        <v>September</v>
      </c>
      <c r="E247">
        <f t="shared" si="20"/>
        <v>9</v>
      </c>
      <c r="F247" t="str">
        <f t="shared" si="21"/>
        <v>Sept 2021</v>
      </c>
      <c r="G247" t="str">
        <f t="shared" si="22"/>
        <v>Q3</v>
      </c>
      <c r="H247">
        <f>IF(AirQuality[[#This Row],[pm25  (ug/m3)]]&gt;15,1,0)</f>
        <v>1</v>
      </c>
      <c r="I247" t="str">
        <f t="shared" si="23"/>
        <v>unsafe</v>
      </c>
      <c r="J247">
        <f>IF(AirQuality[[#This Row],[Air Quality Status]]="unsafe",J246+1,0)</f>
        <v>246</v>
      </c>
    </row>
    <row r="248" spans="1:10" x14ac:dyDescent="0.3">
      <c r="A248" s="1">
        <v>44451</v>
      </c>
      <c r="B248">
        <v>151</v>
      </c>
      <c r="C248">
        <f t="shared" si="18"/>
        <v>2021</v>
      </c>
      <c r="D248" t="str">
        <f t="shared" si="19"/>
        <v>September</v>
      </c>
      <c r="E248">
        <f t="shared" si="20"/>
        <v>9</v>
      </c>
      <c r="F248" t="str">
        <f t="shared" si="21"/>
        <v>Sept 2021</v>
      </c>
      <c r="G248" t="str">
        <f t="shared" si="22"/>
        <v>Q3</v>
      </c>
      <c r="H248">
        <f>IF(AirQuality[[#This Row],[pm25  (ug/m3)]]&gt;15,1,0)</f>
        <v>1</v>
      </c>
      <c r="I248" t="str">
        <f t="shared" si="23"/>
        <v>unsafe</v>
      </c>
      <c r="J248">
        <f>IF(AirQuality[[#This Row],[Air Quality Status]]="unsafe",J247+1,0)</f>
        <v>247</v>
      </c>
    </row>
    <row r="249" spans="1:10" x14ac:dyDescent="0.3">
      <c r="A249" s="1">
        <v>44452</v>
      </c>
      <c r="B249">
        <v>148</v>
      </c>
      <c r="C249">
        <f t="shared" si="18"/>
        <v>2021</v>
      </c>
      <c r="D249" t="str">
        <f t="shared" si="19"/>
        <v>September</v>
      </c>
      <c r="E249">
        <f t="shared" si="20"/>
        <v>9</v>
      </c>
      <c r="F249" t="str">
        <f t="shared" si="21"/>
        <v>Sept 2021</v>
      </c>
      <c r="G249" t="str">
        <f t="shared" si="22"/>
        <v>Q3</v>
      </c>
      <c r="H249">
        <f>IF(AirQuality[[#This Row],[pm25  (ug/m3)]]&gt;15,1,0)</f>
        <v>1</v>
      </c>
      <c r="I249" t="str">
        <f t="shared" si="23"/>
        <v>unsafe</v>
      </c>
      <c r="J249">
        <f>IF(AirQuality[[#This Row],[Air Quality Status]]="unsafe",J248+1,0)</f>
        <v>248</v>
      </c>
    </row>
    <row r="250" spans="1:10" x14ac:dyDescent="0.3">
      <c r="A250" s="1">
        <v>44453</v>
      </c>
      <c r="B250">
        <v>150</v>
      </c>
      <c r="C250">
        <f t="shared" si="18"/>
        <v>2021</v>
      </c>
      <c r="D250" t="str">
        <f t="shared" si="19"/>
        <v>September</v>
      </c>
      <c r="E250">
        <f t="shared" si="20"/>
        <v>9</v>
      </c>
      <c r="F250" t="str">
        <f t="shared" si="21"/>
        <v>Sept 2021</v>
      </c>
      <c r="G250" t="str">
        <f t="shared" si="22"/>
        <v>Q3</v>
      </c>
      <c r="H250">
        <f>IF(AirQuality[[#This Row],[pm25  (ug/m3)]]&gt;15,1,0)</f>
        <v>1</v>
      </c>
      <c r="I250" t="str">
        <f t="shared" si="23"/>
        <v>unsafe</v>
      </c>
      <c r="J250">
        <f>IF(AirQuality[[#This Row],[Air Quality Status]]="unsafe",J249+1,0)</f>
        <v>249</v>
      </c>
    </row>
    <row r="251" spans="1:10" x14ac:dyDescent="0.3">
      <c r="A251" s="1">
        <v>44454</v>
      </c>
      <c r="B251">
        <v>147</v>
      </c>
      <c r="C251">
        <f t="shared" si="18"/>
        <v>2021</v>
      </c>
      <c r="D251" t="str">
        <f t="shared" si="19"/>
        <v>September</v>
      </c>
      <c r="E251">
        <f t="shared" si="20"/>
        <v>9</v>
      </c>
      <c r="F251" t="str">
        <f t="shared" si="21"/>
        <v>Sept 2021</v>
      </c>
      <c r="G251" t="str">
        <f t="shared" si="22"/>
        <v>Q3</v>
      </c>
      <c r="H251">
        <f>IF(AirQuality[[#This Row],[pm25  (ug/m3)]]&gt;15,1,0)</f>
        <v>1</v>
      </c>
      <c r="I251" t="str">
        <f t="shared" si="23"/>
        <v>unsafe</v>
      </c>
      <c r="J251">
        <f>IF(AirQuality[[#This Row],[Air Quality Status]]="unsafe",J250+1,0)</f>
        <v>250</v>
      </c>
    </row>
    <row r="252" spans="1:10" x14ac:dyDescent="0.3">
      <c r="A252" s="1">
        <v>44455</v>
      </c>
      <c r="B252">
        <v>150</v>
      </c>
      <c r="C252">
        <f t="shared" si="18"/>
        <v>2021</v>
      </c>
      <c r="D252" t="str">
        <f t="shared" si="19"/>
        <v>September</v>
      </c>
      <c r="E252">
        <f t="shared" si="20"/>
        <v>9</v>
      </c>
      <c r="F252" t="str">
        <f t="shared" si="21"/>
        <v>Sept 2021</v>
      </c>
      <c r="G252" t="str">
        <f t="shared" si="22"/>
        <v>Q3</v>
      </c>
      <c r="H252">
        <f>IF(AirQuality[[#This Row],[pm25  (ug/m3)]]&gt;15,1,0)</f>
        <v>1</v>
      </c>
      <c r="I252" t="str">
        <f t="shared" si="23"/>
        <v>unsafe</v>
      </c>
      <c r="J252">
        <f>IF(AirQuality[[#This Row],[Air Quality Status]]="unsafe",J251+1,0)</f>
        <v>251</v>
      </c>
    </row>
    <row r="253" spans="1:10" x14ac:dyDescent="0.3">
      <c r="A253" s="1">
        <v>44456</v>
      </c>
      <c r="B253">
        <v>144</v>
      </c>
      <c r="C253">
        <f t="shared" si="18"/>
        <v>2021</v>
      </c>
      <c r="D253" t="str">
        <f t="shared" si="19"/>
        <v>September</v>
      </c>
      <c r="E253">
        <f t="shared" si="20"/>
        <v>9</v>
      </c>
      <c r="F253" t="str">
        <f t="shared" si="21"/>
        <v>Sept 2021</v>
      </c>
      <c r="G253" t="str">
        <f t="shared" si="22"/>
        <v>Q3</v>
      </c>
      <c r="H253">
        <f>IF(AirQuality[[#This Row],[pm25  (ug/m3)]]&gt;15,1,0)</f>
        <v>1</v>
      </c>
      <c r="I253" t="str">
        <f t="shared" si="23"/>
        <v>unsafe</v>
      </c>
      <c r="J253">
        <f>IF(AirQuality[[#This Row],[Air Quality Status]]="unsafe",J252+1,0)</f>
        <v>252</v>
      </c>
    </row>
    <row r="254" spans="1:10" x14ac:dyDescent="0.3">
      <c r="A254" s="1">
        <v>44457</v>
      </c>
      <c r="B254">
        <v>140</v>
      </c>
      <c r="C254">
        <f t="shared" si="18"/>
        <v>2021</v>
      </c>
      <c r="D254" t="str">
        <f t="shared" si="19"/>
        <v>September</v>
      </c>
      <c r="E254">
        <f t="shared" si="20"/>
        <v>9</v>
      </c>
      <c r="F254" t="str">
        <f t="shared" si="21"/>
        <v>Sept 2021</v>
      </c>
      <c r="G254" t="str">
        <f t="shared" si="22"/>
        <v>Q3</v>
      </c>
      <c r="H254">
        <f>IF(AirQuality[[#This Row],[pm25  (ug/m3)]]&gt;15,1,0)</f>
        <v>1</v>
      </c>
      <c r="I254" t="str">
        <f t="shared" si="23"/>
        <v>unsafe</v>
      </c>
      <c r="J254">
        <f>IF(AirQuality[[#This Row],[Air Quality Status]]="unsafe",J253+1,0)</f>
        <v>253</v>
      </c>
    </row>
    <row r="255" spans="1:10" x14ac:dyDescent="0.3">
      <c r="A255" s="1">
        <v>44458</v>
      </c>
      <c r="B255">
        <v>143</v>
      </c>
      <c r="C255">
        <f t="shared" si="18"/>
        <v>2021</v>
      </c>
      <c r="D255" t="str">
        <f t="shared" si="19"/>
        <v>September</v>
      </c>
      <c r="E255">
        <f t="shared" si="20"/>
        <v>9</v>
      </c>
      <c r="F255" t="str">
        <f t="shared" si="21"/>
        <v>Sept 2021</v>
      </c>
      <c r="G255" t="str">
        <f t="shared" si="22"/>
        <v>Q3</v>
      </c>
      <c r="H255">
        <f>IF(AirQuality[[#This Row],[pm25  (ug/m3)]]&gt;15,1,0)</f>
        <v>1</v>
      </c>
      <c r="I255" t="str">
        <f t="shared" si="23"/>
        <v>unsafe</v>
      </c>
      <c r="J255">
        <f>IF(AirQuality[[#This Row],[Air Quality Status]]="unsafe",J254+1,0)</f>
        <v>254</v>
      </c>
    </row>
    <row r="256" spans="1:10" x14ac:dyDescent="0.3">
      <c r="A256" s="1">
        <v>44459</v>
      </c>
      <c r="B256">
        <v>149</v>
      </c>
      <c r="C256">
        <f t="shared" si="18"/>
        <v>2021</v>
      </c>
      <c r="D256" t="str">
        <f t="shared" si="19"/>
        <v>September</v>
      </c>
      <c r="E256">
        <f t="shared" si="20"/>
        <v>9</v>
      </c>
      <c r="F256" t="str">
        <f t="shared" si="21"/>
        <v>Sept 2021</v>
      </c>
      <c r="G256" t="str">
        <f t="shared" si="22"/>
        <v>Q3</v>
      </c>
      <c r="H256">
        <f>IF(AirQuality[[#This Row],[pm25  (ug/m3)]]&gt;15,1,0)</f>
        <v>1</v>
      </c>
      <c r="I256" t="str">
        <f t="shared" si="23"/>
        <v>unsafe</v>
      </c>
      <c r="J256">
        <f>IF(AirQuality[[#This Row],[Air Quality Status]]="unsafe",J255+1,0)</f>
        <v>255</v>
      </c>
    </row>
    <row r="257" spans="1:10" x14ac:dyDescent="0.3">
      <c r="A257" s="1">
        <v>44460</v>
      </c>
      <c r="B257">
        <v>144</v>
      </c>
      <c r="C257">
        <f t="shared" si="18"/>
        <v>2021</v>
      </c>
      <c r="D257" t="str">
        <f t="shared" si="19"/>
        <v>September</v>
      </c>
      <c r="E257">
        <f t="shared" si="20"/>
        <v>9</v>
      </c>
      <c r="F257" t="str">
        <f t="shared" si="21"/>
        <v>Sept 2021</v>
      </c>
      <c r="G257" t="str">
        <f t="shared" si="22"/>
        <v>Q3</v>
      </c>
      <c r="H257">
        <f>IF(AirQuality[[#This Row],[pm25  (ug/m3)]]&gt;15,1,0)</f>
        <v>1</v>
      </c>
      <c r="I257" t="str">
        <f t="shared" si="23"/>
        <v>unsafe</v>
      </c>
      <c r="J257">
        <f>IF(AirQuality[[#This Row],[Air Quality Status]]="unsafe",J256+1,0)</f>
        <v>256</v>
      </c>
    </row>
    <row r="258" spans="1:10" x14ac:dyDescent="0.3">
      <c r="A258" s="1">
        <v>44461</v>
      </c>
      <c r="B258">
        <v>150</v>
      </c>
      <c r="C258">
        <f t="shared" ref="C258:C321" si="24">YEAR(A258)</f>
        <v>2021</v>
      </c>
      <c r="D258" t="str">
        <f t="shared" ref="D258:D321" si="25">TEXT(A258,"mmmm")</f>
        <v>September</v>
      </c>
      <c r="E258">
        <f t="shared" ref="E258:E321" si="26">MONTH(A258)</f>
        <v>9</v>
      </c>
      <c r="F258" t="str">
        <f t="shared" ref="F258:F321" si="27">TEXT(A258,"mmm yyyy")</f>
        <v>Sept 2021</v>
      </c>
      <c r="G258" t="str">
        <f t="shared" ref="G258:G321" si="28">"Q"&amp;ROUNDUP(MONTH(A258)/3,0)</f>
        <v>Q3</v>
      </c>
      <c r="H258">
        <f>IF(AirQuality[[#This Row],[pm25  (ug/m3)]]&gt;15,1,0)</f>
        <v>1</v>
      </c>
      <c r="I258" t="str">
        <f t="shared" ref="I258:I321" si="29">IF(B258&gt;15,"unsafe","safe")</f>
        <v>unsafe</v>
      </c>
      <c r="J258">
        <f>IF(AirQuality[[#This Row],[Air Quality Status]]="unsafe",J257+1,0)</f>
        <v>257</v>
      </c>
    </row>
    <row r="259" spans="1:10" x14ac:dyDescent="0.3">
      <c r="A259" s="1">
        <v>44462</v>
      </c>
      <c r="B259">
        <v>141</v>
      </c>
      <c r="C259">
        <f t="shared" si="24"/>
        <v>2021</v>
      </c>
      <c r="D259" t="str">
        <f t="shared" si="25"/>
        <v>September</v>
      </c>
      <c r="E259">
        <f t="shared" si="26"/>
        <v>9</v>
      </c>
      <c r="F259" t="str">
        <f t="shared" si="27"/>
        <v>Sept 2021</v>
      </c>
      <c r="G259" t="str">
        <f t="shared" si="28"/>
        <v>Q3</v>
      </c>
      <c r="H259">
        <f>IF(AirQuality[[#This Row],[pm25  (ug/m3)]]&gt;15,1,0)</f>
        <v>1</v>
      </c>
      <c r="I259" t="str">
        <f t="shared" si="29"/>
        <v>unsafe</v>
      </c>
      <c r="J259">
        <f>IF(AirQuality[[#This Row],[Air Quality Status]]="unsafe",J258+1,0)</f>
        <v>258</v>
      </c>
    </row>
    <row r="260" spans="1:10" x14ac:dyDescent="0.3">
      <c r="A260" s="1">
        <v>44463</v>
      </c>
      <c r="B260">
        <v>138</v>
      </c>
      <c r="C260">
        <f t="shared" si="24"/>
        <v>2021</v>
      </c>
      <c r="D260" t="str">
        <f t="shared" si="25"/>
        <v>September</v>
      </c>
      <c r="E260">
        <f t="shared" si="26"/>
        <v>9</v>
      </c>
      <c r="F260" t="str">
        <f t="shared" si="27"/>
        <v>Sept 2021</v>
      </c>
      <c r="G260" t="str">
        <f t="shared" si="28"/>
        <v>Q3</v>
      </c>
      <c r="H260">
        <f>IF(AirQuality[[#This Row],[pm25  (ug/m3)]]&gt;15,1,0)</f>
        <v>1</v>
      </c>
      <c r="I260" t="str">
        <f t="shared" si="29"/>
        <v>unsafe</v>
      </c>
      <c r="J260">
        <f>IF(AirQuality[[#This Row],[Air Quality Status]]="unsafe",J259+1,0)</f>
        <v>259</v>
      </c>
    </row>
    <row r="261" spans="1:10" x14ac:dyDescent="0.3">
      <c r="A261" s="1">
        <v>44464</v>
      </c>
      <c r="B261">
        <v>142</v>
      </c>
      <c r="C261">
        <f t="shared" si="24"/>
        <v>2021</v>
      </c>
      <c r="D261" t="str">
        <f t="shared" si="25"/>
        <v>September</v>
      </c>
      <c r="E261">
        <f t="shared" si="26"/>
        <v>9</v>
      </c>
      <c r="F261" t="str">
        <f t="shared" si="27"/>
        <v>Sept 2021</v>
      </c>
      <c r="G261" t="str">
        <f t="shared" si="28"/>
        <v>Q3</v>
      </c>
      <c r="H261">
        <f>IF(AirQuality[[#This Row],[pm25  (ug/m3)]]&gt;15,1,0)</f>
        <v>1</v>
      </c>
      <c r="I261" t="str">
        <f t="shared" si="29"/>
        <v>unsafe</v>
      </c>
      <c r="J261">
        <f>IF(AirQuality[[#This Row],[Air Quality Status]]="unsafe",J260+1,0)</f>
        <v>260</v>
      </c>
    </row>
    <row r="262" spans="1:10" x14ac:dyDescent="0.3">
      <c r="A262" s="1">
        <v>44465</v>
      </c>
      <c r="B262">
        <v>140</v>
      </c>
      <c r="C262">
        <f t="shared" si="24"/>
        <v>2021</v>
      </c>
      <c r="D262" t="str">
        <f t="shared" si="25"/>
        <v>September</v>
      </c>
      <c r="E262">
        <f t="shared" si="26"/>
        <v>9</v>
      </c>
      <c r="F262" t="str">
        <f t="shared" si="27"/>
        <v>Sept 2021</v>
      </c>
      <c r="G262" t="str">
        <f t="shared" si="28"/>
        <v>Q3</v>
      </c>
      <c r="H262">
        <f>IF(AirQuality[[#This Row],[pm25  (ug/m3)]]&gt;15,1,0)</f>
        <v>1</v>
      </c>
      <c r="I262" t="str">
        <f t="shared" si="29"/>
        <v>unsafe</v>
      </c>
      <c r="J262">
        <f>IF(AirQuality[[#This Row],[Air Quality Status]]="unsafe",J261+1,0)</f>
        <v>261</v>
      </c>
    </row>
    <row r="263" spans="1:10" x14ac:dyDescent="0.3">
      <c r="A263" s="1">
        <v>44466</v>
      </c>
      <c r="B263">
        <v>132</v>
      </c>
      <c r="C263">
        <f t="shared" si="24"/>
        <v>2021</v>
      </c>
      <c r="D263" t="str">
        <f t="shared" si="25"/>
        <v>September</v>
      </c>
      <c r="E263">
        <f t="shared" si="26"/>
        <v>9</v>
      </c>
      <c r="F263" t="str">
        <f t="shared" si="27"/>
        <v>Sept 2021</v>
      </c>
      <c r="G263" t="str">
        <f t="shared" si="28"/>
        <v>Q3</v>
      </c>
      <c r="H263">
        <f>IF(AirQuality[[#This Row],[pm25  (ug/m3)]]&gt;15,1,0)</f>
        <v>1</v>
      </c>
      <c r="I263" t="str">
        <f t="shared" si="29"/>
        <v>unsafe</v>
      </c>
      <c r="J263">
        <f>IF(AirQuality[[#This Row],[Air Quality Status]]="unsafe",J262+1,0)</f>
        <v>262</v>
      </c>
    </row>
    <row r="264" spans="1:10" x14ac:dyDescent="0.3">
      <c r="A264" s="1">
        <v>44467</v>
      </c>
      <c r="B264">
        <v>131</v>
      </c>
      <c r="C264">
        <f t="shared" si="24"/>
        <v>2021</v>
      </c>
      <c r="D264" t="str">
        <f t="shared" si="25"/>
        <v>September</v>
      </c>
      <c r="E264">
        <f t="shared" si="26"/>
        <v>9</v>
      </c>
      <c r="F264" t="str">
        <f t="shared" si="27"/>
        <v>Sept 2021</v>
      </c>
      <c r="G264" t="str">
        <f t="shared" si="28"/>
        <v>Q3</v>
      </c>
      <c r="H264">
        <f>IF(AirQuality[[#This Row],[pm25  (ug/m3)]]&gt;15,1,0)</f>
        <v>1</v>
      </c>
      <c r="I264" t="str">
        <f t="shared" si="29"/>
        <v>unsafe</v>
      </c>
      <c r="J264">
        <f>IF(AirQuality[[#This Row],[Air Quality Status]]="unsafe",J263+1,0)</f>
        <v>263</v>
      </c>
    </row>
    <row r="265" spans="1:10" x14ac:dyDescent="0.3">
      <c r="A265" s="1">
        <v>44468</v>
      </c>
      <c r="B265">
        <v>124</v>
      </c>
      <c r="C265">
        <f t="shared" si="24"/>
        <v>2021</v>
      </c>
      <c r="D265" t="str">
        <f t="shared" si="25"/>
        <v>September</v>
      </c>
      <c r="E265">
        <f t="shared" si="26"/>
        <v>9</v>
      </c>
      <c r="F265" t="str">
        <f t="shared" si="27"/>
        <v>Sept 2021</v>
      </c>
      <c r="G265" t="str">
        <f t="shared" si="28"/>
        <v>Q3</v>
      </c>
      <c r="H265">
        <f>IF(AirQuality[[#This Row],[pm25  (ug/m3)]]&gt;15,1,0)</f>
        <v>1</v>
      </c>
      <c r="I265" t="str">
        <f t="shared" si="29"/>
        <v>unsafe</v>
      </c>
      <c r="J265">
        <f>IF(AirQuality[[#This Row],[Air Quality Status]]="unsafe",J264+1,0)</f>
        <v>264</v>
      </c>
    </row>
    <row r="266" spans="1:10" x14ac:dyDescent="0.3">
      <c r="A266" s="1">
        <v>44469</v>
      </c>
      <c r="B266">
        <v>135</v>
      </c>
      <c r="C266">
        <f t="shared" si="24"/>
        <v>2021</v>
      </c>
      <c r="D266" t="str">
        <f t="shared" si="25"/>
        <v>September</v>
      </c>
      <c r="E266">
        <f t="shared" si="26"/>
        <v>9</v>
      </c>
      <c r="F266" t="str">
        <f t="shared" si="27"/>
        <v>Sept 2021</v>
      </c>
      <c r="G266" t="str">
        <f t="shared" si="28"/>
        <v>Q3</v>
      </c>
      <c r="H266">
        <f>IF(AirQuality[[#This Row],[pm25  (ug/m3)]]&gt;15,1,0)</f>
        <v>1</v>
      </c>
      <c r="I266" t="str">
        <f t="shared" si="29"/>
        <v>unsafe</v>
      </c>
      <c r="J266">
        <f>IF(AirQuality[[#This Row],[Air Quality Status]]="unsafe",J265+1,0)</f>
        <v>265</v>
      </c>
    </row>
    <row r="267" spans="1:10" x14ac:dyDescent="0.3">
      <c r="A267" s="1">
        <v>44470</v>
      </c>
      <c r="B267">
        <v>119</v>
      </c>
      <c r="C267">
        <f t="shared" si="24"/>
        <v>2021</v>
      </c>
      <c r="D267" t="str">
        <f t="shared" si="25"/>
        <v>October</v>
      </c>
      <c r="E267">
        <f t="shared" si="26"/>
        <v>10</v>
      </c>
      <c r="F267" t="str">
        <f t="shared" si="27"/>
        <v>Oct 2021</v>
      </c>
      <c r="G267" t="str">
        <f t="shared" si="28"/>
        <v>Q4</v>
      </c>
      <c r="H267">
        <f>IF(AirQuality[[#This Row],[pm25  (ug/m3)]]&gt;15,1,0)</f>
        <v>1</v>
      </c>
      <c r="I267" t="str">
        <f t="shared" si="29"/>
        <v>unsafe</v>
      </c>
      <c r="J267">
        <f>IF(AirQuality[[#This Row],[Air Quality Status]]="unsafe",J266+1,0)</f>
        <v>266</v>
      </c>
    </row>
    <row r="268" spans="1:10" x14ac:dyDescent="0.3">
      <c r="A268" s="1">
        <v>44471</v>
      </c>
      <c r="B268">
        <v>126</v>
      </c>
      <c r="C268">
        <f t="shared" si="24"/>
        <v>2021</v>
      </c>
      <c r="D268" t="str">
        <f t="shared" si="25"/>
        <v>October</v>
      </c>
      <c r="E268">
        <f t="shared" si="26"/>
        <v>10</v>
      </c>
      <c r="F268" t="str">
        <f t="shared" si="27"/>
        <v>Oct 2021</v>
      </c>
      <c r="G268" t="str">
        <f t="shared" si="28"/>
        <v>Q4</v>
      </c>
      <c r="H268">
        <f>IF(AirQuality[[#This Row],[pm25  (ug/m3)]]&gt;15,1,0)</f>
        <v>1</v>
      </c>
      <c r="I268" t="str">
        <f t="shared" si="29"/>
        <v>unsafe</v>
      </c>
      <c r="J268">
        <f>IF(AirQuality[[#This Row],[Air Quality Status]]="unsafe",J267+1,0)</f>
        <v>267</v>
      </c>
    </row>
    <row r="269" spans="1:10" x14ac:dyDescent="0.3">
      <c r="A269" s="1">
        <v>44472</v>
      </c>
      <c r="B269">
        <v>121</v>
      </c>
      <c r="C269">
        <f t="shared" si="24"/>
        <v>2021</v>
      </c>
      <c r="D269" t="str">
        <f t="shared" si="25"/>
        <v>October</v>
      </c>
      <c r="E269">
        <f t="shared" si="26"/>
        <v>10</v>
      </c>
      <c r="F269" t="str">
        <f t="shared" si="27"/>
        <v>Oct 2021</v>
      </c>
      <c r="G269" t="str">
        <f t="shared" si="28"/>
        <v>Q4</v>
      </c>
      <c r="H269">
        <f>IF(AirQuality[[#This Row],[pm25  (ug/m3)]]&gt;15,1,0)</f>
        <v>1</v>
      </c>
      <c r="I269" t="str">
        <f t="shared" si="29"/>
        <v>unsafe</v>
      </c>
      <c r="J269">
        <f>IF(AirQuality[[#This Row],[Air Quality Status]]="unsafe",J268+1,0)</f>
        <v>268</v>
      </c>
    </row>
    <row r="270" spans="1:10" x14ac:dyDescent="0.3">
      <c r="A270" s="1">
        <v>44473</v>
      </c>
      <c r="B270">
        <v>116</v>
      </c>
      <c r="C270">
        <f t="shared" si="24"/>
        <v>2021</v>
      </c>
      <c r="D270" t="str">
        <f t="shared" si="25"/>
        <v>October</v>
      </c>
      <c r="E270">
        <f t="shared" si="26"/>
        <v>10</v>
      </c>
      <c r="F270" t="str">
        <f t="shared" si="27"/>
        <v>Oct 2021</v>
      </c>
      <c r="G270" t="str">
        <f t="shared" si="28"/>
        <v>Q4</v>
      </c>
      <c r="H270">
        <f>IF(AirQuality[[#This Row],[pm25  (ug/m3)]]&gt;15,1,0)</f>
        <v>1</v>
      </c>
      <c r="I270" t="str">
        <f t="shared" si="29"/>
        <v>unsafe</v>
      </c>
      <c r="J270">
        <f>IF(AirQuality[[#This Row],[Air Quality Status]]="unsafe",J269+1,0)</f>
        <v>269</v>
      </c>
    </row>
    <row r="271" spans="1:10" x14ac:dyDescent="0.3">
      <c r="A271" s="1">
        <v>44474</v>
      </c>
      <c r="B271">
        <v>128</v>
      </c>
      <c r="C271">
        <f t="shared" si="24"/>
        <v>2021</v>
      </c>
      <c r="D271" t="str">
        <f t="shared" si="25"/>
        <v>October</v>
      </c>
      <c r="E271">
        <f t="shared" si="26"/>
        <v>10</v>
      </c>
      <c r="F271" t="str">
        <f t="shared" si="27"/>
        <v>Oct 2021</v>
      </c>
      <c r="G271" t="str">
        <f t="shared" si="28"/>
        <v>Q4</v>
      </c>
      <c r="H271">
        <f>IF(AirQuality[[#This Row],[pm25  (ug/m3)]]&gt;15,1,0)</f>
        <v>1</v>
      </c>
      <c r="I271" t="str">
        <f t="shared" si="29"/>
        <v>unsafe</v>
      </c>
      <c r="J271">
        <f>IF(AirQuality[[#This Row],[Air Quality Status]]="unsafe",J270+1,0)</f>
        <v>270</v>
      </c>
    </row>
    <row r="272" spans="1:10" x14ac:dyDescent="0.3">
      <c r="A272" s="1">
        <v>44475</v>
      </c>
      <c r="B272">
        <v>129</v>
      </c>
      <c r="C272">
        <f t="shared" si="24"/>
        <v>2021</v>
      </c>
      <c r="D272" t="str">
        <f t="shared" si="25"/>
        <v>October</v>
      </c>
      <c r="E272">
        <f t="shared" si="26"/>
        <v>10</v>
      </c>
      <c r="F272" t="str">
        <f t="shared" si="27"/>
        <v>Oct 2021</v>
      </c>
      <c r="G272" t="str">
        <f t="shared" si="28"/>
        <v>Q4</v>
      </c>
      <c r="H272">
        <f>IF(AirQuality[[#This Row],[pm25  (ug/m3)]]&gt;15,1,0)</f>
        <v>1</v>
      </c>
      <c r="I272" t="str">
        <f t="shared" si="29"/>
        <v>unsafe</v>
      </c>
      <c r="J272">
        <f>IF(AirQuality[[#This Row],[Air Quality Status]]="unsafe",J271+1,0)</f>
        <v>271</v>
      </c>
    </row>
    <row r="273" spans="1:10" x14ac:dyDescent="0.3">
      <c r="A273" s="1">
        <v>44476</v>
      </c>
      <c r="B273">
        <v>120</v>
      </c>
      <c r="C273">
        <f t="shared" si="24"/>
        <v>2021</v>
      </c>
      <c r="D273" t="str">
        <f t="shared" si="25"/>
        <v>October</v>
      </c>
      <c r="E273">
        <f t="shared" si="26"/>
        <v>10</v>
      </c>
      <c r="F273" t="str">
        <f t="shared" si="27"/>
        <v>Oct 2021</v>
      </c>
      <c r="G273" t="str">
        <f t="shared" si="28"/>
        <v>Q4</v>
      </c>
      <c r="H273">
        <f>IF(AirQuality[[#This Row],[pm25  (ug/m3)]]&gt;15,1,0)</f>
        <v>1</v>
      </c>
      <c r="I273" t="str">
        <f t="shared" si="29"/>
        <v>unsafe</v>
      </c>
      <c r="J273">
        <f>IF(AirQuality[[#This Row],[Air Quality Status]]="unsafe",J272+1,0)</f>
        <v>272</v>
      </c>
    </row>
    <row r="274" spans="1:10" x14ac:dyDescent="0.3">
      <c r="A274" s="1">
        <v>44477</v>
      </c>
      <c r="B274">
        <v>116</v>
      </c>
      <c r="C274">
        <f t="shared" si="24"/>
        <v>2021</v>
      </c>
      <c r="D274" t="str">
        <f t="shared" si="25"/>
        <v>October</v>
      </c>
      <c r="E274">
        <f t="shared" si="26"/>
        <v>10</v>
      </c>
      <c r="F274" t="str">
        <f t="shared" si="27"/>
        <v>Oct 2021</v>
      </c>
      <c r="G274" t="str">
        <f t="shared" si="28"/>
        <v>Q4</v>
      </c>
      <c r="H274">
        <f>IF(AirQuality[[#This Row],[pm25  (ug/m3)]]&gt;15,1,0)</f>
        <v>1</v>
      </c>
      <c r="I274" t="str">
        <f t="shared" si="29"/>
        <v>unsafe</v>
      </c>
      <c r="J274">
        <f>IF(AirQuality[[#This Row],[Air Quality Status]]="unsafe",J273+1,0)</f>
        <v>273</v>
      </c>
    </row>
    <row r="275" spans="1:10" x14ac:dyDescent="0.3">
      <c r="A275" s="1">
        <v>44478</v>
      </c>
      <c r="B275">
        <v>113</v>
      </c>
      <c r="C275">
        <f t="shared" si="24"/>
        <v>2021</v>
      </c>
      <c r="D275" t="str">
        <f t="shared" si="25"/>
        <v>October</v>
      </c>
      <c r="E275">
        <f t="shared" si="26"/>
        <v>10</v>
      </c>
      <c r="F275" t="str">
        <f t="shared" si="27"/>
        <v>Oct 2021</v>
      </c>
      <c r="G275" t="str">
        <f t="shared" si="28"/>
        <v>Q4</v>
      </c>
      <c r="H275">
        <f>IF(AirQuality[[#This Row],[pm25  (ug/m3)]]&gt;15,1,0)</f>
        <v>1</v>
      </c>
      <c r="I275" t="str">
        <f t="shared" si="29"/>
        <v>unsafe</v>
      </c>
      <c r="J275">
        <f>IF(AirQuality[[#This Row],[Air Quality Status]]="unsafe",J274+1,0)</f>
        <v>274</v>
      </c>
    </row>
    <row r="276" spans="1:10" x14ac:dyDescent="0.3">
      <c r="A276" s="1">
        <v>44479</v>
      </c>
      <c r="B276">
        <v>113</v>
      </c>
      <c r="C276">
        <f t="shared" si="24"/>
        <v>2021</v>
      </c>
      <c r="D276" t="str">
        <f t="shared" si="25"/>
        <v>October</v>
      </c>
      <c r="E276">
        <f t="shared" si="26"/>
        <v>10</v>
      </c>
      <c r="F276" t="str">
        <f t="shared" si="27"/>
        <v>Oct 2021</v>
      </c>
      <c r="G276" t="str">
        <f t="shared" si="28"/>
        <v>Q4</v>
      </c>
      <c r="H276">
        <f>IF(AirQuality[[#This Row],[pm25  (ug/m3)]]&gt;15,1,0)</f>
        <v>1</v>
      </c>
      <c r="I276" t="str">
        <f t="shared" si="29"/>
        <v>unsafe</v>
      </c>
      <c r="J276">
        <f>IF(AirQuality[[#This Row],[Air Quality Status]]="unsafe",J275+1,0)</f>
        <v>275</v>
      </c>
    </row>
    <row r="277" spans="1:10" x14ac:dyDescent="0.3">
      <c r="A277" s="1">
        <v>44480</v>
      </c>
      <c r="B277">
        <v>117</v>
      </c>
      <c r="C277">
        <f t="shared" si="24"/>
        <v>2021</v>
      </c>
      <c r="D277" t="str">
        <f t="shared" si="25"/>
        <v>October</v>
      </c>
      <c r="E277">
        <f t="shared" si="26"/>
        <v>10</v>
      </c>
      <c r="F277" t="str">
        <f t="shared" si="27"/>
        <v>Oct 2021</v>
      </c>
      <c r="G277" t="str">
        <f t="shared" si="28"/>
        <v>Q4</v>
      </c>
      <c r="H277">
        <f>IF(AirQuality[[#This Row],[pm25  (ug/m3)]]&gt;15,1,0)</f>
        <v>1</v>
      </c>
      <c r="I277" t="str">
        <f t="shared" si="29"/>
        <v>unsafe</v>
      </c>
      <c r="J277">
        <f>IF(AirQuality[[#This Row],[Air Quality Status]]="unsafe",J276+1,0)</f>
        <v>276</v>
      </c>
    </row>
    <row r="278" spans="1:10" x14ac:dyDescent="0.3">
      <c r="A278" s="1">
        <v>44481</v>
      </c>
      <c r="B278">
        <v>119</v>
      </c>
      <c r="C278">
        <f t="shared" si="24"/>
        <v>2021</v>
      </c>
      <c r="D278" t="str">
        <f t="shared" si="25"/>
        <v>October</v>
      </c>
      <c r="E278">
        <f t="shared" si="26"/>
        <v>10</v>
      </c>
      <c r="F278" t="str">
        <f t="shared" si="27"/>
        <v>Oct 2021</v>
      </c>
      <c r="G278" t="str">
        <f t="shared" si="28"/>
        <v>Q4</v>
      </c>
      <c r="H278">
        <f>IF(AirQuality[[#This Row],[pm25  (ug/m3)]]&gt;15,1,0)</f>
        <v>1</v>
      </c>
      <c r="I278" t="str">
        <f t="shared" si="29"/>
        <v>unsafe</v>
      </c>
      <c r="J278">
        <f>IF(AirQuality[[#This Row],[Air Quality Status]]="unsafe",J277+1,0)</f>
        <v>277</v>
      </c>
    </row>
    <row r="279" spans="1:10" x14ac:dyDescent="0.3">
      <c r="A279" s="1">
        <v>44482</v>
      </c>
      <c r="B279">
        <v>107</v>
      </c>
      <c r="C279">
        <f t="shared" si="24"/>
        <v>2021</v>
      </c>
      <c r="D279" t="str">
        <f t="shared" si="25"/>
        <v>October</v>
      </c>
      <c r="E279">
        <f t="shared" si="26"/>
        <v>10</v>
      </c>
      <c r="F279" t="str">
        <f t="shared" si="27"/>
        <v>Oct 2021</v>
      </c>
      <c r="G279" t="str">
        <f t="shared" si="28"/>
        <v>Q4</v>
      </c>
      <c r="H279">
        <f>IF(AirQuality[[#This Row],[pm25  (ug/m3)]]&gt;15,1,0)</f>
        <v>1</v>
      </c>
      <c r="I279" t="str">
        <f t="shared" si="29"/>
        <v>unsafe</v>
      </c>
      <c r="J279">
        <f>IF(AirQuality[[#This Row],[Air Quality Status]]="unsafe",J278+1,0)</f>
        <v>278</v>
      </c>
    </row>
    <row r="280" spans="1:10" x14ac:dyDescent="0.3">
      <c r="A280" s="1">
        <v>44483</v>
      </c>
      <c r="B280">
        <v>107</v>
      </c>
      <c r="C280">
        <f t="shared" si="24"/>
        <v>2021</v>
      </c>
      <c r="D280" t="str">
        <f t="shared" si="25"/>
        <v>October</v>
      </c>
      <c r="E280">
        <f t="shared" si="26"/>
        <v>10</v>
      </c>
      <c r="F280" t="str">
        <f t="shared" si="27"/>
        <v>Oct 2021</v>
      </c>
      <c r="G280" t="str">
        <f t="shared" si="28"/>
        <v>Q4</v>
      </c>
      <c r="H280">
        <f>IF(AirQuality[[#This Row],[pm25  (ug/m3)]]&gt;15,1,0)</f>
        <v>1</v>
      </c>
      <c r="I280" t="str">
        <f t="shared" si="29"/>
        <v>unsafe</v>
      </c>
      <c r="J280">
        <f>IF(AirQuality[[#This Row],[Air Quality Status]]="unsafe",J279+1,0)</f>
        <v>279</v>
      </c>
    </row>
    <row r="281" spans="1:10" x14ac:dyDescent="0.3">
      <c r="A281" s="1">
        <v>44484</v>
      </c>
      <c r="B281">
        <v>103</v>
      </c>
      <c r="C281">
        <f t="shared" si="24"/>
        <v>2021</v>
      </c>
      <c r="D281" t="str">
        <f t="shared" si="25"/>
        <v>October</v>
      </c>
      <c r="E281">
        <f t="shared" si="26"/>
        <v>10</v>
      </c>
      <c r="F281" t="str">
        <f t="shared" si="27"/>
        <v>Oct 2021</v>
      </c>
      <c r="G281" t="str">
        <f t="shared" si="28"/>
        <v>Q4</v>
      </c>
      <c r="H281">
        <f>IF(AirQuality[[#This Row],[pm25  (ug/m3)]]&gt;15,1,0)</f>
        <v>1</v>
      </c>
      <c r="I281" t="str">
        <f t="shared" si="29"/>
        <v>unsafe</v>
      </c>
      <c r="J281">
        <f>IF(AirQuality[[#This Row],[Air Quality Status]]="unsafe",J280+1,0)</f>
        <v>280</v>
      </c>
    </row>
    <row r="282" spans="1:10" x14ac:dyDescent="0.3">
      <c r="A282" s="1">
        <v>44485</v>
      </c>
      <c r="B282">
        <v>117</v>
      </c>
      <c r="C282">
        <f t="shared" si="24"/>
        <v>2021</v>
      </c>
      <c r="D282" t="str">
        <f t="shared" si="25"/>
        <v>October</v>
      </c>
      <c r="E282">
        <f t="shared" si="26"/>
        <v>10</v>
      </c>
      <c r="F282" t="str">
        <f t="shared" si="27"/>
        <v>Oct 2021</v>
      </c>
      <c r="G282" t="str">
        <f t="shared" si="28"/>
        <v>Q4</v>
      </c>
      <c r="H282">
        <f>IF(AirQuality[[#This Row],[pm25  (ug/m3)]]&gt;15,1,0)</f>
        <v>1</v>
      </c>
      <c r="I282" t="str">
        <f t="shared" si="29"/>
        <v>unsafe</v>
      </c>
      <c r="J282">
        <f>IF(AirQuality[[#This Row],[Air Quality Status]]="unsafe",J281+1,0)</f>
        <v>281</v>
      </c>
    </row>
    <row r="283" spans="1:10" x14ac:dyDescent="0.3">
      <c r="A283" s="1">
        <v>44486</v>
      </c>
      <c r="B283">
        <v>114</v>
      </c>
      <c r="C283">
        <f t="shared" si="24"/>
        <v>2021</v>
      </c>
      <c r="D283" t="str">
        <f t="shared" si="25"/>
        <v>October</v>
      </c>
      <c r="E283">
        <f t="shared" si="26"/>
        <v>10</v>
      </c>
      <c r="F283" t="str">
        <f t="shared" si="27"/>
        <v>Oct 2021</v>
      </c>
      <c r="G283" t="str">
        <f t="shared" si="28"/>
        <v>Q4</v>
      </c>
      <c r="H283">
        <f>IF(AirQuality[[#This Row],[pm25  (ug/m3)]]&gt;15,1,0)</f>
        <v>1</v>
      </c>
      <c r="I283" t="str">
        <f t="shared" si="29"/>
        <v>unsafe</v>
      </c>
      <c r="J283">
        <f>IF(AirQuality[[#This Row],[Air Quality Status]]="unsafe",J282+1,0)</f>
        <v>282</v>
      </c>
    </row>
    <row r="284" spans="1:10" x14ac:dyDescent="0.3">
      <c r="A284" s="1">
        <v>44487</v>
      </c>
      <c r="B284">
        <v>109</v>
      </c>
      <c r="C284">
        <f t="shared" si="24"/>
        <v>2021</v>
      </c>
      <c r="D284" t="str">
        <f t="shared" si="25"/>
        <v>October</v>
      </c>
      <c r="E284">
        <f t="shared" si="26"/>
        <v>10</v>
      </c>
      <c r="F284" t="str">
        <f t="shared" si="27"/>
        <v>Oct 2021</v>
      </c>
      <c r="G284" t="str">
        <f t="shared" si="28"/>
        <v>Q4</v>
      </c>
      <c r="H284">
        <f>IF(AirQuality[[#This Row],[pm25  (ug/m3)]]&gt;15,1,0)</f>
        <v>1</v>
      </c>
      <c r="I284" t="str">
        <f t="shared" si="29"/>
        <v>unsafe</v>
      </c>
      <c r="J284">
        <f>IF(AirQuality[[#This Row],[Air Quality Status]]="unsafe",J283+1,0)</f>
        <v>283</v>
      </c>
    </row>
    <row r="285" spans="1:10" x14ac:dyDescent="0.3">
      <c r="A285" s="1">
        <v>44488</v>
      </c>
      <c r="B285">
        <v>120</v>
      </c>
      <c r="C285">
        <f t="shared" si="24"/>
        <v>2021</v>
      </c>
      <c r="D285" t="str">
        <f t="shared" si="25"/>
        <v>October</v>
      </c>
      <c r="E285">
        <f t="shared" si="26"/>
        <v>10</v>
      </c>
      <c r="F285" t="str">
        <f t="shared" si="27"/>
        <v>Oct 2021</v>
      </c>
      <c r="G285" t="str">
        <f t="shared" si="28"/>
        <v>Q4</v>
      </c>
      <c r="H285">
        <f>IF(AirQuality[[#This Row],[pm25  (ug/m3)]]&gt;15,1,0)</f>
        <v>1</v>
      </c>
      <c r="I285" t="str">
        <f t="shared" si="29"/>
        <v>unsafe</v>
      </c>
      <c r="J285">
        <f>IF(AirQuality[[#This Row],[Air Quality Status]]="unsafe",J284+1,0)</f>
        <v>284</v>
      </c>
    </row>
    <row r="286" spans="1:10" x14ac:dyDescent="0.3">
      <c r="A286" s="1">
        <v>44489</v>
      </c>
      <c r="B286">
        <v>118</v>
      </c>
      <c r="C286">
        <f t="shared" si="24"/>
        <v>2021</v>
      </c>
      <c r="D286" t="str">
        <f t="shared" si="25"/>
        <v>October</v>
      </c>
      <c r="E286">
        <f t="shared" si="26"/>
        <v>10</v>
      </c>
      <c r="F286" t="str">
        <f t="shared" si="27"/>
        <v>Oct 2021</v>
      </c>
      <c r="G286" t="str">
        <f t="shared" si="28"/>
        <v>Q4</v>
      </c>
      <c r="H286">
        <f>IF(AirQuality[[#This Row],[pm25  (ug/m3)]]&gt;15,1,0)</f>
        <v>1</v>
      </c>
      <c r="I286" t="str">
        <f t="shared" si="29"/>
        <v>unsafe</v>
      </c>
      <c r="J286">
        <f>IF(AirQuality[[#This Row],[Air Quality Status]]="unsafe",J285+1,0)</f>
        <v>285</v>
      </c>
    </row>
    <row r="287" spans="1:10" x14ac:dyDescent="0.3">
      <c r="A287" s="1">
        <v>44490</v>
      </c>
      <c r="B287">
        <v>111</v>
      </c>
      <c r="C287">
        <f t="shared" si="24"/>
        <v>2021</v>
      </c>
      <c r="D287" t="str">
        <f t="shared" si="25"/>
        <v>October</v>
      </c>
      <c r="E287">
        <f t="shared" si="26"/>
        <v>10</v>
      </c>
      <c r="F287" t="str">
        <f t="shared" si="27"/>
        <v>Oct 2021</v>
      </c>
      <c r="G287" t="str">
        <f t="shared" si="28"/>
        <v>Q4</v>
      </c>
      <c r="H287">
        <f>IF(AirQuality[[#This Row],[pm25  (ug/m3)]]&gt;15,1,0)</f>
        <v>1</v>
      </c>
      <c r="I287" t="str">
        <f t="shared" si="29"/>
        <v>unsafe</v>
      </c>
      <c r="J287">
        <f>IF(AirQuality[[#This Row],[Air Quality Status]]="unsafe",J286+1,0)</f>
        <v>286</v>
      </c>
    </row>
    <row r="288" spans="1:10" x14ac:dyDescent="0.3">
      <c r="A288" s="1">
        <v>44491</v>
      </c>
      <c r="B288">
        <v>109</v>
      </c>
      <c r="C288">
        <f t="shared" si="24"/>
        <v>2021</v>
      </c>
      <c r="D288" t="str">
        <f t="shared" si="25"/>
        <v>October</v>
      </c>
      <c r="E288">
        <f t="shared" si="26"/>
        <v>10</v>
      </c>
      <c r="F288" t="str">
        <f t="shared" si="27"/>
        <v>Oct 2021</v>
      </c>
      <c r="G288" t="str">
        <f t="shared" si="28"/>
        <v>Q4</v>
      </c>
      <c r="H288">
        <f>IF(AirQuality[[#This Row],[pm25  (ug/m3)]]&gt;15,1,0)</f>
        <v>1</v>
      </c>
      <c r="I288" t="str">
        <f t="shared" si="29"/>
        <v>unsafe</v>
      </c>
      <c r="J288">
        <f>IF(AirQuality[[#This Row],[Air Quality Status]]="unsafe",J287+1,0)</f>
        <v>287</v>
      </c>
    </row>
    <row r="289" spans="1:10" x14ac:dyDescent="0.3">
      <c r="A289" s="1">
        <v>44492</v>
      </c>
      <c r="B289">
        <v>111</v>
      </c>
      <c r="C289">
        <f t="shared" si="24"/>
        <v>2021</v>
      </c>
      <c r="D289" t="str">
        <f t="shared" si="25"/>
        <v>October</v>
      </c>
      <c r="E289">
        <f t="shared" si="26"/>
        <v>10</v>
      </c>
      <c r="F289" t="str">
        <f t="shared" si="27"/>
        <v>Oct 2021</v>
      </c>
      <c r="G289" t="str">
        <f t="shared" si="28"/>
        <v>Q4</v>
      </c>
      <c r="H289">
        <f>IF(AirQuality[[#This Row],[pm25  (ug/m3)]]&gt;15,1,0)</f>
        <v>1</v>
      </c>
      <c r="I289" t="str">
        <f t="shared" si="29"/>
        <v>unsafe</v>
      </c>
      <c r="J289">
        <f>IF(AirQuality[[#This Row],[Air Quality Status]]="unsafe",J288+1,0)</f>
        <v>288</v>
      </c>
    </row>
    <row r="290" spans="1:10" x14ac:dyDescent="0.3">
      <c r="A290" s="1">
        <v>44493</v>
      </c>
      <c r="B290">
        <v>103</v>
      </c>
      <c r="C290">
        <f t="shared" si="24"/>
        <v>2021</v>
      </c>
      <c r="D290" t="str">
        <f t="shared" si="25"/>
        <v>October</v>
      </c>
      <c r="E290">
        <f t="shared" si="26"/>
        <v>10</v>
      </c>
      <c r="F290" t="str">
        <f t="shared" si="27"/>
        <v>Oct 2021</v>
      </c>
      <c r="G290" t="str">
        <f t="shared" si="28"/>
        <v>Q4</v>
      </c>
      <c r="H290">
        <f>IF(AirQuality[[#This Row],[pm25  (ug/m3)]]&gt;15,1,0)</f>
        <v>1</v>
      </c>
      <c r="I290" t="str">
        <f t="shared" si="29"/>
        <v>unsafe</v>
      </c>
      <c r="J290">
        <f>IF(AirQuality[[#This Row],[Air Quality Status]]="unsafe",J289+1,0)</f>
        <v>289</v>
      </c>
    </row>
    <row r="291" spans="1:10" x14ac:dyDescent="0.3">
      <c r="A291" s="1">
        <v>44494</v>
      </c>
      <c r="B291">
        <v>91</v>
      </c>
      <c r="C291">
        <f t="shared" si="24"/>
        <v>2021</v>
      </c>
      <c r="D291" t="str">
        <f t="shared" si="25"/>
        <v>October</v>
      </c>
      <c r="E291">
        <f t="shared" si="26"/>
        <v>10</v>
      </c>
      <c r="F291" t="str">
        <f t="shared" si="27"/>
        <v>Oct 2021</v>
      </c>
      <c r="G291" t="str">
        <f t="shared" si="28"/>
        <v>Q4</v>
      </c>
      <c r="H291">
        <f>IF(AirQuality[[#This Row],[pm25  (ug/m3)]]&gt;15,1,0)</f>
        <v>1</v>
      </c>
      <c r="I291" t="str">
        <f t="shared" si="29"/>
        <v>unsafe</v>
      </c>
      <c r="J291">
        <f>IF(AirQuality[[#This Row],[Air Quality Status]]="unsafe",J290+1,0)</f>
        <v>290</v>
      </c>
    </row>
    <row r="292" spans="1:10" x14ac:dyDescent="0.3">
      <c r="A292" s="1">
        <v>44495</v>
      </c>
      <c r="B292">
        <v>102</v>
      </c>
      <c r="C292">
        <f t="shared" si="24"/>
        <v>2021</v>
      </c>
      <c r="D292" t="str">
        <f t="shared" si="25"/>
        <v>October</v>
      </c>
      <c r="E292">
        <f t="shared" si="26"/>
        <v>10</v>
      </c>
      <c r="F292" t="str">
        <f t="shared" si="27"/>
        <v>Oct 2021</v>
      </c>
      <c r="G292" t="str">
        <f t="shared" si="28"/>
        <v>Q4</v>
      </c>
      <c r="H292">
        <f>IF(AirQuality[[#This Row],[pm25  (ug/m3)]]&gt;15,1,0)</f>
        <v>1</v>
      </c>
      <c r="I292" t="str">
        <f t="shared" si="29"/>
        <v>unsafe</v>
      </c>
      <c r="J292">
        <f>IF(AirQuality[[#This Row],[Air Quality Status]]="unsafe",J291+1,0)</f>
        <v>291</v>
      </c>
    </row>
    <row r="293" spans="1:10" x14ac:dyDescent="0.3">
      <c r="A293" s="1">
        <v>44496</v>
      </c>
      <c r="B293">
        <v>89</v>
      </c>
      <c r="C293">
        <f t="shared" si="24"/>
        <v>2021</v>
      </c>
      <c r="D293" t="str">
        <f t="shared" si="25"/>
        <v>October</v>
      </c>
      <c r="E293">
        <f t="shared" si="26"/>
        <v>10</v>
      </c>
      <c r="F293" t="str">
        <f t="shared" si="27"/>
        <v>Oct 2021</v>
      </c>
      <c r="G293" t="str">
        <f t="shared" si="28"/>
        <v>Q4</v>
      </c>
      <c r="H293">
        <f>IF(AirQuality[[#This Row],[pm25  (ug/m3)]]&gt;15,1,0)</f>
        <v>1</v>
      </c>
      <c r="I293" t="str">
        <f t="shared" si="29"/>
        <v>unsafe</v>
      </c>
      <c r="J293">
        <f>IF(AirQuality[[#This Row],[Air Quality Status]]="unsafe",J292+1,0)</f>
        <v>292</v>
      </c>
    </row>
    <row r="294" spans="1:10" x14ac:dyDescent="0.3">
      <c r="A294" s="1">
        <v>44497</v>
      </c>
      <c r="B294">
        <v>101</v>
      </c>
      <c r="C294">
        <f t="shared" si="24"/>
        <v>2021</v>
      </c>
      <c r="D294" t="str">
        <f t="shared" si="25"/>
        <v>October</v>
      </c>
      <c r="E294">
        <f t="shared" si="26"/>
        <v>10</v>
      </c>
      <c r="F294" t="str">
        <f t="shared" si="27"/>
        <v>Oct 2021</v>
      </c>
      <c r="G294" t="str">
        <f t="shared" si="28"/>
        <v>Q4</v>
      </c>
      <c r="H294">
        <f>IF(AirQuality[[#This Row],[pm25  (ug/m3)]]&gt;15,1,0)</f>
        <v>1</v>
      </c>
      <c r="I294" t="str">
        <f t="shared" si="29"/>
        <v>unsafe</v>
      </c>
      <c r="J294">
        <f>IF(AirQuality[[#This Row],[Air Quality Status]]="unsafe",J293+1,0)</f>
        <v>293</v>
      </c>
    </row>
    <row r="295" spans="1:10" x14ac:dyDescent="0.3">
      <c r="A295" s="1">
        <v>44498</v>
      </c>
      <c r="B295">
        <v>105</v>
      </c>
      <c r="C295">
        <f t="shared" si="24"/>
        <v>2021</v>
      </c>
      <c r="D295" t="str">
        <f t="shared" si="25"/>
        <v>October</v>
      </c>
      <c r="E295">
        <f t="shared" si="26"/>
        <v>10</v>
      </c>
      <c r="F295" t="str">
        <f t="shared" si="27"/>
        <v>Oct 2021</v>
      </c>
      <c r="G295" t="str">
        <f t="shared" si="28"/>
        <v>Q4</v>
      </c>
      <c r="H295">
        <f>IF(AirQuality[[#This Row],[pm25  (ug/m3)]]&gt;15,1,0)</f>
        <v>1</v>
      </c>
      <c r="I295" t="str">
        <f t="shared" si="29"/>
        <v>unsafe</v>
      </c>
      <c r="J295">
        <f>IF(AirQuality[[#This Row],[Air Quality Status]]="unsafe",J294+1,0)</f>
        <v>294</v>
      </c>
    </row>
    <row r="296" spans="1:10" x14ac:dyDescent="0.3">
      <c r="A296" s="1">
        <v>44499</v>
      </c>
      <c r="B296">
        <v>98</v>
      </c>
      <c r="C296">
        <f t="shared" si="24"/>
        <v>2021</v>
      </c>
      <c r="D296" t="str">
        <f t="shared" si="25"/>
        <v>October</v>
      </c>
      <c r="E296">
        <f t="shared" si="26"/>
        <v>10</v>
      </c>
      <c r="F296" t="str">
        <f t="shared" si="27"/>
        <v>Oct 2021</v>
      </c>
      <c r="G296" t="str">
        <f t="shared" si="28"/>
        <v>Q4</v>
      </c>
      <c r="H296">
        <f>IF(AirQuality[[#This Row],[pm25  (ug/m3)]]&gt;15,1,0)</f>
        <v>1</v>
      </c>
      <c r="I296" t="str">
        <f t="shared" si="29"/>
        <v>unsafe</v>
      </c>
      <c r="J296">
        <f>IF(AirQuality[[#This Row],[Air Quality Status]]="unsafe",J295+1,0)</f>
        <v>295</v>
      </c>
    </row>
    <row r="297" spans="1:10" x14ac:dyDescent="0.3">
      <c r="A297" s="1">
        <v>44500</v>
      </c>
      <c r="B297">
        <v>87</v>
      </c>
      <c r="C297">
        <f t="shared" si="24"/>
        <v>2021</v>
      </c>
      <c r="D297" t="str">
        <f t="shared" si="25"/>
        <v>October</v>
      </c>
      <c r="E297">
        <f t="shared" si="26"/>
        <v>10</v>
      </c>
      <c r="F297" t="str">
        <f t="shared" si="27"/>
        <v>Oct 2021</v>
      </c>
      <c r="G297" t="str">
        <f t="shared" si="28"/>
        <v>Q4</v>
      </c>
      <c r="H297">
        <f>IF(AirQuality[[#This Row],[pm25  (ug/m3)]]&gt;15,1,0)</f>
        <v>1</v>
      </c>
      <c r="I297" t="str">
        <f t="shared" si="29"/>
        <v>unsafe</v>
      </c>
      <c r="J297">
        <f>IF(AirQuality[[#This Row],[Air Quality Status]]="unsafe",J296+1,0)</f>
        <v>296</v>
      </c>
    </row>
    <row r="298" spans="1:10" x14ac:dyDescent="0.3">
      <c r="A298" s="1">
        <v>44501</v>
      </c>
      <c r="B298">
        <v>80</v>
      </c>
      <c r="C298">
        <f t="shared" si="24"/>
        <v>2021</v>
      </c>
      <c r="D298" t="str">
        <f t="shared" si="25"/>
        <v>November</v>
      </c>
      <c r="E298">
        <f t="shared" si="26"/>
        <v>11</v>
      </c>
      <c r="F298" t="str">
        <f t="shared" si="27"/>
        <v>Nov 2021</v>
      </c>
      <c r="G298" t="str">
        <f t="shared" si="28"/>
        <v>Q4</v>
      </c>
      <c r="H298">
        <f>IF(AirQuality[[#This Row],[pm25  (ug/m3)]]&gt;15,1,0)</f>
        <v>1</v>
      </c>
      <c r="I298" t="str">
        <f t="shared" si="29"/>
        <v>unsafe</v>
      </c>
      <c r="J298">
        <f>IF(AirQuality[[#This Row],[Air Quality Status]]="unsafe",J297+1,0)</f>
        <v>297</v>
      </c>
    </row>
    <row r="299" spans="1:10" x14ac:dyDescent="0.3">
      <c r="A299" s="1">
        <v>44502</v>
      </c>
      <c r="B299">
        <v>90</v>
      </c>
      <c r="C299">
        <f t="shared" si="24"/>
        <v>2021</v>
      </c>
      <c r="D299" t="str">
        <f t="shared" si="25"/>
        <v>November</v>
      </c>
      <c r="E299">
        <f t="shared" si="26"/>
        <v>11</v>
      </c>
      <c r="F299" t="str">
        <f t="shared" si="27"/>
        <v>Nov 2021</v>
      </c>
      <c r="G299" t="str">
        <f t="shared" si="28"/>
        <v>Q4</v>
      </c>
      <c r="H299">
        <f>IF(AirQuality[[#This Row],[pm25  (ug/m3)]]&gt;15,1,0)</f>
        <v>1</v>
      </c>
      <c r="I299" t="str">
        <f t="shared" si="29"/>
        <v>unsafe</v>
      </c>
      <c r="J299">
        <f>IF(AirQuality[[#This Row],[Air Quality Status]]="unsafe",J298+1,0)</f>
        <v>298</v>
      </c>
    </row>
    <row r="300" spans="1:10" x14ac:dyDescent="0.3">
      <c r="A300" s="1">
        <v>44503</v>
      </c>
      <c r="B300">
        <v>84</v>
      </c>
      <c r="C300">
        <f t="shared" si="24"/>
        <v>2021</v>
      </c>
      <c r="D300" t="str">
        <f t="shared" si="25"/>
        <v>November</v>
      </c>
      <c r="E300">
        <f t="shared" si="26"/>
        <v>11</v>
      </c>
      <c r="F300" t="str">
        <f t="shared" si="27"/>
        <v>Nov 2021</v>
      </c>
      <c r="G300" t="str">
        <f t="shared" si="28"/>
        <v>Q4</v>
      </c>
      <c r="H300">
        <f>IF(AirQuality[[#This Row],[pm25  (ug/m3)]]&gt;15,1,0)</f>
        <v>1</v>
      </c>
      <c r="I300" t="str">
        <f t="shared" si="29"/>
        <v>unsafe</v>
      </c>
      <c r="J300">
        <f>IF(AirQuality[[#This Row],[Air Quality Status]]="unsafe",J299+1,0)</f>
        <v>299</v>
      </c>
    </row>
    <row r="301" spans="1:10" x14ac:dyDescent="0.3">
      <c r="A301" s="1">
        <v>44504</v>
      </c>
      <c r="B301">
        <v>86</v>
      </c>
      <c r="C301">
        <f t="shared" si="24"/>
        <v>2021</v>
      </c>
      <c r="D301" t="str">
        <f t="shared" si="25"/>
        <v>November</v>
      </c>
      <c r="E301">
        <f t="shared" si="26"/>
        <v>11</v>
      </c>
      <c r="F301" t="str">
        <f t="shared" si="27"/>
        <v>Nov 2021</v>
      </c>
      <c r="G301" t="str">
        <f t="shared" si="28"/>
        <v>Q4</v>
      </c>
      <c r="H301">
        <f>IF(AirQuality[[#This Row],[pm25  (ug/m3)]]&gt;15,1,0)</f>
        <v>1</v>
      </c>
      <c r="I301" t="str">
        <f t="shared" si="29"/>
        <v>unsafe</v>
      </c>
      <c r="J301">
        <f>IF(AirQuality[[#This Row],[Air Quality Status]]="unsafe",J300+1,0)</f>
        <v>300</v>
      </c>
    </row>
    <row r="302" spans="1:10" x14ac:dyDescent="0.3">
      <c r="A302" s="1">
        <v>44505</v>
      </c>
      <c r="B302">
        <v>82</v>
      </c>
      <c r="C302">
        <f t="shared" si="24"/>
        <v>2021</v>
      </c>
      <c r="D302" t="str">
        <f t="shared" si="25"/>
        <v>November</v>
      </c>
      <c r="E302">
        <f t="shared" si="26"/>
        <v>11</v>
      </c>
      <c r="F302" t="str">
        <f t="shared" si="27"/>
        <v>Nov 2021</v>
      </c>
      <c r="G302" t="str">
        <f t="shared" si="28"/>
        <v>Q4</v>
      </c>
      <c r="H302">
        <f>IF(AirQuality[[#This Row],[pm25  (ug/m3)]]&gt;15,1,0)</f>
        <v>1</v>
      </c>
      <c r="I302" t="str">
        <f t="shared" si="29"/>
        <v>unsafe</v>
      </c>
      <c r="J302">
        <f>IF(AirQuality[[#This Row],[Air Quality Status]]="unsafe",J301+1,0)</f>
        <v>301</v>
      </c>
    </row>
    <row r="303" spans="1:10" x14ac:dyDescent="0.3">
      <c r="A303" s="1">
        <v>44506</v>
      </c>
      <c r="B303">
        <v>72</v>
      </c>
      <c r="C303">
        <f t="shared" si="24"/>
        <v>2021</v>
      </c>
      <c r="D303" t="str">
        <f t="shared" si="25"/>
        <v>November</v>
      </c>
      <c r="E303">
        <f t="shared" si="26"/>
        <v>11</v>
      </c>
      <c r="F303" t="str">
        <f t="shared" si="27"/>
        <v>Nov 2021</v>
      </c>
      <c r="G303" t="str">
        <f t="shared" si="28"/>
        <v>Q4</v>
      </c>
      <c r="H303">
        <f>IF(AirQuality[[#This Row],[pm25  (ug/m3)]]&gt;15,1,0)</f>
        <v>1</v>
      </c>
      <c r="I303" t="str">
        <f t="shared" si="29"/>
        <v>unsafe</v>
      </c>
      <c r="J303">
        <f>IF(AirQuality[[#This Row],[Air Quality Status]]="unsafe",J302+1,0)</f>
        <v>302</v>
      </c>
    </row>
    <row r="304" spans="1:10" x14ac:dyDescent="0.3">
      <c r="A304" s="1">
        <v>44507</v>
      </c>
      <c r="B304">
        <v>73</v>
      </c>
      <c r="C304">
        <f t="shared" si="24"/>
        <v>2021</v>
      </c>
      <c r="D304" t="str">
        <f t="shared" si="25"/>
        <v>November</v>
      </c>
      <c r="E304">
        <f t="shared" si="26"/>
        <v>11</v>
      </c>
      <c r="F304" t="str">
        <f t="shared" si="27"/>
        <v>Nov 2021</v>
      </c>
      <c r="G304" t="str">
        <f t="shared" si="28"/>
        <v>Q4</v>
      </c>
      <c r="H304">
        <f>IF(AirQuality[[#This Row],[pm25  (ug/m3)]]&gt;15,1,0)</f>
        <v>1</v>
      </c>
      <c r="I304" t="str">
        <f t="shared" si="29"/>
        <v>unsafe</v>
      </c>
      <c r="J304">
        <f>IF(AirQuality[[#This Row],[Air Quality Status]]="unsafe",J303+1,0)</f>
        <v>303</v>
      </c>
    </row>
    <row r="305" spans="1:10" x14ac:dyDescent="0.3">
      <c r="A305" s="1">
        <v>44508</v>
      </c>
      <c r="B305">
        <v>69</v>
      </c>
      <c r="C305">
        <f t="shared" si="24"/>
        <v>2021</v>
      </c>
      <c r="D305" t="str">
        <f t="shared" si="25"/>
        <v>November</v>
      </c>
      <c r="E305">
        <f t="shared" si="26"/>
        <v>11</v>
      </c>
      <c r="F305" t="str">
        <f t="shared" si="27"/>
        <v>Nov 2021</v>
      </c>
      <c r="G305" t="str">
        <f t="shared" si="28"/>
        <v>Q4</v>
      </c>
      <c r="H305">
        <f>IF(AirQuality[[#This Row],[pm25  (ug/m3)]]&gt;15,1,0)</f>
        <v>1</v>
      </c>
      <c r="I305" t="str">
        <f t="shared" si="29"/>
        <v>unsafe</v>
      </c>
      <c r="J305">
        <f>IF(AirQuality[[#This Row],[Air Quality Status]]="unsafe",J304+1,0)</f>
        <v>304</v>
      </c>
    </row>
    <row r="306" spans="1:10" x14ac:dyDescent="0.3">
      <c r="A306" s="1">
        <v>44509</v>
      </c>
      <c r="B306">
        <v>64</v>
      </c>
      <c r="C306">
        <f t="shared" si="24"/>
        <v>2021</v>
      </c>
      <c r="D306" t="str">
        <f t="shared" si="25"/>
        <v>November</v>
      </c>
      <c r="E306">
        <f t="shared" si="26"/>
        <v>11</v>
      </c>
      <c r="F306" t="str">
        <f t="shared" si="27"/>
        <v>Nov 2021</v>
      </c>
      <c r="G306" t="str">
        <f t="shared" si="28"/>
        <v>Q4</v>
      </c>
      <c r="H306">
        <f>IF(AirQuality[[#This Row],[pm25  (ug/m3)]]&gt;15,1,0)</f>
        <v>1</v>
      </c>
      <c r="I306" t="str">
        <f t="shared" si="29"/>
        <v>unsafe</v>
      </c>
      <c r="J306">
        <f>IF(AirQuality[[#This Row],[Air Quality Status]]="unsafe",J305+1,0)</f>
        <v>305</v>
      </c>
    </row>
    <row r="307" spans="1:10" x14ac:dyDescent="0.3">
      <c r="A307" s="1">
        <v>44510</v>
      </c>
      <c r="B307">
        <v>59</v>
      </c>
      <c r="C307">
        <f t="shared" si="24"/>
        <v>2021</v>
      </c>
      <c r="D307" t="str">
        <f t="shared" si="25"/>
        <v>November</v>
      </c>
      <c r="E307">
        <f t="shared" si="26"/>
        <v>11</v>
      </c>
      <c r="F307" t="str">
        <f t="shared" si="27"/>
        <v>Nov 2021</v>
      </c>
      <c r="G307" t="str">
        <f t="shared" si="28"/>
        <v>Q4</v>
      </c>
      <c r="H307">
        <f>IF(AirQuality[[#This Row],[pm25  (ug/m3)]]&gt;15,1,0)</f>
        <v>1</v>
      </c>
      <c r="I307" t="str">
        <f t="shared" si="29"/>
        <v>unsafe</v>
      </c>
      <c r="J307">
        <f>IF(AirQuality[[#This Row],[Air Quality Status]]="unsafe",J306+1,0)</f>
        <v>306</v>
      </c>
    </row>
    <row r="308" spans="1:10" x14ac:dyDescent="0.3">
      <c r="A308" s="1">
        <v>44511</v>
      </c>
      <c r="B308">
        <v>65</v>
      </c>
      <c r="C308">
        <f t="shared" si="24"/>
        <v>2021</v>
      </c>
      <c r="D308" t="str">
        <f t="shared" si="25"/>
        <v>November</v>
      </c>
      <c r="E308">
        <f t="shared" si="26"/>
        <v>11</v>
      </c>
      <c r="F308" t="str">
        <f t="shared" si="27"/>
        <v>Nov 2021</v>
      </c>
      <c r="G308" t="str">
        <f t="shared" si="28"/>
        <v>Q4</v>
      </c>
      <c r="H308">
        <f>IF(AirQuality[[#This Row],[pm25  (ug/m3)]]&gt;15,1,0)</f>
        <v>1</v>
      </c>
      <c r="I308" t="str">
        <f t="shared" si="29"/>
        <v>unsafe</v>
      </c>
      <c r="J308">
        <f>IF(AirQuality[[#This Row],[Air Quality Status]]="unsafe",J307+1,0)</f>
        <v>307</v>
      </c>
    </row>
    <row r="309" spans="1:10" x14ac:dyDescent="0.3">
      <c r="A309" s="1">
        <v>44512</v>
      </c>
      <c r="B309">
        <v>61</v>
      </c>
      <c r="C309">
        <f t="shared" si="24"/>
        <v>2021</v>
      </c>
      <c r="D309" t="str">
        <f t="shared" si="25"/>
        <v>November</v>
      </c>
      <c r="E309">
        <f t="shared" si="26"/>
        <v>11</v>
      </c>
      <c r="F309" t="str">
        <f t="shared" si="27"/>
        <v>Nov 2021</v>
      </c>
      <c r="G309" t="str">
        <f t="shared" si="28"/>
        <v>Q4</v>
      </c>
      <c r="H309">
        <f>IF(AirQuality[[#This Row],[pm25  (ug/m3)]]&gt;15,1,0)</f>
        <v>1</v>
      </c>
      <c r="I309" t="str">
        <f t="shared" si="29"/>
        <v>unsafe</v>
      </c>
      <c r="J309">
        <f>IF(AirQuality[[#This Row],[Air Quality Status]]="unsafe",J308+1,0)</f>
        <v>308</v>
      </c>
    </row>
    <row r="310" spans="1:10" x14ac:dyDescent="0.3">
      <c r="A310" s="1">
        <v>44513</v>
      </c>
      <c r="B310">
        <v>60</v>
      </c>
      <c r="C310">
        <f t="shared" si="24"/>
        <v>2021</v>
      </c>
      <c r="D310" t="str">
        <f t="shared" si="25"/>
        <v>November</v>
      </c>
      <c r="E310">
        <f t="shared" si="26"/>
        <v>11</v>
      </c>
      <c r="F310" t="str">
        <f t="shared" si="27"/>
        <v>Nov 2021</v>
      </c>
      <c r="G310" t="str">
        <f t="shared" si="28"/>
        <v>Q4</v>
      </c>
      <c r="H310">
        <f>IF(AirQuality[[#This Row],[pm25  (ug/m3)]]&gt;15,1,0)</f>
        <v>1</v>
      </c>
      <c r="I310" t="str">
        <f t="shared" si="29"/>
        <v>unsafe</v>
      </c>
      <c r="J310">
        <f>IF(AirQuality[[#This Row],[Air Quality Status]]="unsafe",J309+1,0)</f>
        <v>309</v>
      </c>
    </row>
    <row r="311" spans="1:10" x14ac:dyDescent="0.3">
      <c r="A311" s="1">
        <v>44514</v>
      </c>
      <c r="B311">
        <v>57</v>
      </c>
      <c r="C311">
        <f t="shared" si="24"/>
        <v>2021</v>
      </c>
      <c r="D311" t="str">
        <f t="shared" si="25"/>
        <v>November</v>
      </c>
      <c r="E311">
        <f t="shared" si="26"/>
        <v>11</v>
      </c>
      <c r="F311" t="str">
        <f t="shared" si="27"/>
        <v>Nov 2021</v>
      </c>
      <c r="G311" t="str">
        <f t="shared" si="28"/>
        <v>Q4</v>
      </c>
      <c r="H311">
        <f>IF(AirQuality[[#This Row],[pm25  (ug/m3)]]&gt;15,1,0)</f>
        <v>1</v>
      </c>
      <c r="I311" t="str">
        <f t="shared" si="29"/>
        <v>unsafe</v>
      </c>
      <c r="J311">
        <f>IF(AirQuality[[#This Row],[Air Quality Status]]="unsafe",J310+1,0)</f>
        <v>310</v>
      </c>
    </row>
    <row r="312" spans="1:10" x14ac:dyDescent="0.3">
      <c r="A312" s="1">
        <v>44515</v>
      </c>
      <c r="B312">
        <v>58</v>
      </c>
      <c r="C312">
        <f t="shared" si="24"/>
        <v>2021</v>
      </c>
      <c r="D312" t="str">
        <f t="shared" si="25"/>
        <v>November</v>
      </c>
      <c r="E312">
        <f t="shared" si="26"/>
        <v>11</v>
      </c>
      <c r="F312" t="str">
        <f t="shared" si="27"/>
        <v>Nov 2021</v>
      </c>
      <c r="G312" t="str">
        <f t="shared" si="28"/>
        <v>Q4</v>
      </c>
      <c r="H312">
        <f>IF(AirQuality[[#This Row],[pm25  (ug/m3)]]&gt;15,1,0)</f>
        <v>1</v>
      </c>
      <c r="I312" t="str">
        <f t="shared" si="29"/>
        <v>unsafe</v>
      </c>
      <c r="J312">
        <f>IF(AirQuality[[#This Row],[Air Quality Status]]="unsafe",J311+1,0)</f>
        <v>311</v>
      </c>
    </row>
    <row r="313" spans="1:10" x14ac:dyDescent="0.3">
      <c r="A313" s="1">
        <v>44516</v>
      </c>
      <c r="B313">
        <v>49</v>
      </c>
      <c r="C313">
        <f t="shared" si="24"/>
        <v>2021</v>
      </c>
      <c r="D313" t="str">
        <f t="shared" si="25"/>
        <v>November</v>
      </c>
      <c r="E313">
        <f t="shared" si="26"/>
        <v>11</v>
      </c>
      <c r="F313" t="str">
        <f t="shared" si="27"/>
        <v>Nov 2021</v>
      </c>
      <c r="G313" t="str">
        <f t="shared" si="28"/>
        <v>Q4</v>
      </c>
      <c r="H313">
        <f>IF(AirQuality[[#This Row],[pm25  (ug/m3)]]&gt;15,1,0)</f>
        <v>1</v>
      </c>
      <c r="I313" t="str">
        <f t="shared" si="29"/>
        <v>unsafe</v>
      </c>
      <c r="J313">
        <f>IF(AirQuality[[#This Row],[Air Quality Status]]="unsafe",J312+1,0)</f>
        <v>312</v>
      </c>
    </row>
    <row r="314" spans="1:10" x14ac:dyDescent="0.3">
      <c r="A314" s="1">
        <v>44517</v>
      </c>
      <c r="B314">
        <v>47</v>
      </c>
      <c r="C314">
        <f t="shared" si="24"/>
        <v>2021</v>
      </c>
      <c r="D314" t="str">
        <f t="shared" si="25"/>
        <v>November</v>
      </c>
      <c r="E314">
        <f t="shared" si="26"/>
        <v>11</v>
      </c>
      <c r="F314" t="str">
        <f t="shared" si="27"/>
        <v>Nov 2021</v>
      </c>
      <c r="G314" t="str">
        <f t="shared" si="28"/>
        <v>Q4</v>
      </c>
      <c r="H314">
        <f>IF(AirQuality[[#This Row],[pm25  (ug/m3)]]&gt;15,1,0)</f>
        <v>1</v>
      </c>
      <c r="I314" t="str">
        <f t="shared" si="29"/>
        <v>unsafe</v>
      </c>
      <c r="J314">
        <f>IF(AirQuality[[#This Row],[Air Quality Status]]="unsafe",J313+1,0)</f>
        <v>313</v>
      </c>
    </row>
    <row r="315" spans="1:10" x14ac:dyDescent="0.3">
      <c r="A315" s="1">
        <v>44518</v>
      </c>
      <c r="B315">
        <v>52</v>
      </c>
      <c r="C315">
        <f t="shared" si="24"/>
        <v>2021</v>
      </c>
      <c r="D315" t="str">
        <f t="shared" si="25"/>
        <v>November</v>
      </c>
      <c r="E315">
        <f t="shared" si="26"/>
        <v>11</v>
      </c>
      <c r="F315" t="str">
        <f t="shared" si="27"/>
        <v>Nov 2021</v>
      </c>
      <c r="G315" t="str">
        <f t="shared" si="28"/>
        <v>Q4</v>
      </c>
      <c r="H315">
        <f>IF(AirQuality[[#This Row],[pm25  (ug/m3)]]&gt;15,1,0)</f>
        <v>1</v>
      </c>
      <c r="I315" t="str">
        <f t="shared" si="29"/>
        <v>unsafe</v>
      </c>
      <c r="J315">
        <f>IF(AirQuality[[#This Row],[Air Quality Status]]="unsafe",J314+1,0)</f>
        <v>314</v>
      </c>
    </row>
    <row r="316" spans="1:10" x14ac:dyDescent="0.3">
      <c r="A316" s="1">
        <v>44519</v>
      </c>
      <c r="B316">
        <v>51</v>
      </c>
      <c r="C316">
        <f t="shared" si="24"/>
        <v>2021</v>
      </c>
      <c r="D316" t="str">
        <f t="shared" si="25"/>
        <v>November</v>
      </c>
      <c r="E316">
        <f t="shared" si="26"/>
        <v>11</v>
      </c>
      <c r="F316" t="str">
        <f t="shared" si="27"/>
        <v>Nov 2021</v>
      </c>
      <c r="G316" t="str">
        <f t="shared" si="28"/>
        <v>Q4</v>
      </c>
      <c r="H316">
        <f>IF(AirQuality[[#This Row],[pm25  (ug/m3)]]&gt;15,1,0)</f>
        <v>1</v>
      </c>
      <c r="I316" t="str">
        <f t="shared" si="29"/>
        <v>unsafe</v>
      </c>
      <c r="J316">
        <f>IF(AirQuality[[#This Row],[Air Quality Status]]="unsafe",J315+1,0)</f>
        <v>315</v>
      </c>
    </row>
    <row r="317" spans="1:10" x14ac:dyDescent="0.3">
      <c r="A317" s="1">
        <v>44520</v>
      </c>
      <c r="B317">
        <v>54</v>
      </c>
      <c r="C317">
        <f t="shared" si="24"/>
        <v>2021</v>
      </c>
      <c r="D317" t="str">
        <f t="shared" si="25"/>
        <v>November</v>
      </c>
      <c r="E317">
        <f t="shared" si="26"/>
        <v>11</v>
      </c>
      <c r="F317" t="str">
        <f t="shared" si="27"/>
        <v>Nov 2021</v>
      </c>
      <c r="G317" t="str">
        <f t="shared" si="28"/>
        <v>Q4</v>
      </c>
      <c r="H317">
        <f>IF(AirQuality[[#This Row],[pm25  (ug/m3)]]&gt;15,1,0)</f>
        <v>1</v>
      </c>
      <c r="I317" t="str">
        <f t="shared" si="29"/>
        <v>unsafe</v>
      </c>
      <c r="J317">
        <f>IF(AirQuality[[#This Row],[Air Quality Status]]="unsafe",J316+1,0)</f>
        <v>316</v>
      </c>
    </row>
    <row r="318" spans="1:10" x14ac:dyDescent="0.3">
      <c r="A318" s="1">
        <v>44521</v>
      </c>
      <c r="B318">
        <v>49</v>
      </c>
      <c r="C318">
        <f t="shared" si="24"/>
        <v>2021</v>
      </c>
      <c r="D318" t="str">
        <f t="shared" si="25"/>
        <v>November</v>
      </c>
      <c r="E318">
        <f t="shared" si="26"/>
        <v>11</v>
      </c>
      <c r="F318" t="str">
        <f t="shared" si="27"/>
        <v>Nov 2021</v>
      </c>
      <c r="G318" t="str">
        <f t="shared" si="28"/>
        <v>Q4</v>
      </c>
      <c r="H318">
        <f>IF(AirQuality[[#This Row],[pm25  (ug/m3)]]&gt;15,1,0)</f>
        <v>1</v>
      </c>
      <c r="I318" t="str">
        <f t="shared" si="29"/>
        <v>unsafe</v>
      </c>
      <c r="J318">
        <f>IF(AirQuality[[#This Row],[Air Quality Status]]="unsafe",J317+1,0)</f>
        <v>317</v>
      </c>
    </row>
    <row r="319" spans="1:10" x14ac:dyDescent="0.3">
      <c r="A319" s="1">
        <v>44522</v>
      </c>
      <c r="B319">
        <v>46</v>
      </c>
      <c r="C319">
        <f t="shared" si="24"/>
        <v>2021</v>
      </c>
      <c r="D319" t="str">
        <f t="shared" si="25"/>
        <v>November</v>
      </c>
      <c r="E319">
        <f t="shared" si="26"/>
        <v>11</v>
      </c>
      <c r="F319" t="str">
        <f t="shared" si="27"/>
        <v>Nov 2021</v>
      </c>
      <c r="G319" t="str">
        <f t="shared" si="28"/>
        <v>Q4</v>
      </c>
      <c r="H319">
        <f>IF(AirQuality[[#This Row],[pm25  (ug/m3)]]&gt;15,1,0)</f>
        <v>1</v>
      </c>
      <c r="I319" t="str">
        <f t="shared" si="29"/>
        <v>unsafe</v>
      </c>
      <c r="J319">
        <f>IF(AirQuality[[#This Row],[Air Quality Status]]="unsafe",J318+1,0)</f>
        <v>318</v>
      </c>
    </row>
    <row r="320" spans="1:10" x14ac:dyDescent="0.3">
      <c r="A320" s="1">
        <v>44523</v>
      </c>
      <c r="B320">
        <v>47</v>
      </c>
      <c r="C320">
        <f t="shared" si="24"/>
        <v>2021</v>
      </c>
      <c r="D320" t="str">
        <f t="shared" si="25"/>
        <v>November</v>
      </c>
      <c r="E320">
        <f t="shared" si="26"/>
        <v>11</v>
      </c>
      <c r="F320" t="str">
        <f t="shared" si="27"/>
        <v>Nov 2021</v>
      </c>
      <c r="G320" t="str">
        <f t="shared" si="28"/>
        <v>Q4</v>
      </c>
      <c r="H320">
        <f>IF(AirQuality[[#This Row],[pm25  (ug/m3)]]&gt;15,1,0)</f>
        <v>1</v>
      </c>
      <c r="I320" t="str">
        <f t="shared" si="29"/>
        <v>unsafe</v>
      </c>
      <c r="J320">
        <f>IF(AirQuality[[#This Row],[Air Quality Status]]="unsafe",J319+1,0)</f>
        <v>319</v>
      </c>
    </row>
    <row r="321" spans="1:10" x14ac:dyDescent="0.3">
      <c r="A321" s="1">
        <v>44524</v>
      </c>
      <c r="B321">
        <v>52</v>
      </c>
      <c r="C321">
        <f t="shared" si="24"/>
        <v>2021</v>
      </c>
      <c r="D321" t="str">
        <f t="shared" si="25"/>
        <v>November</v>
      </c>
      <c r="E321">
        <f t="shared" si="26"/>
        <v>11</v>
      </c>
      <c r="F321" t="str">
        <f t="shared" si="27"/>
        <v>Nov 2021</v>
      </c>
      <c r="G321" t="str">
        <f t="shared" si="28"/>
        <v>Q4</v>
      </c>
      <c r="H321">
        <f>IF(AirQuality[[#This Row],[pm25  (ug/m3)]]&gt;15,1,0)</f>
        <v>1</v>
      </c>
      <c r="I321" t="str">
        <f t="shared" si="29"/>
        <v>unsafe</v>
      </c>
      <c r="J321">
        <f>IF(AirQuality[[#This Row],[Air Quality Status]]="unsafe",J320+1,0)</f>
        <v>320</v>
      </c>
    </row>
    <row r="322" spans="1:10" x14ac:dyDescent="0.3">
      <c r="A322" s="1">
        <v>44525</v>
      </c>
      <c r="B322">
        <v>39</v>
      </c>
      <c r="C322">
        <f t="shared" ref="C322:C385" si="30">YEAR(A322)</f>
        <v>2021</v>
      </c>
      <c r="D322" t="str">
        <f t="shared" ref="D322:D385" si="31">TEXT(A322,"mmmm")</f>
        <v>November</v>
      </c>
      <c r="E322">
        <f t="shared" ref="E322:E385" si="32">MONTH(A322)</f>
        <v>11</v>
      </c>
      <c r="F322" t="str">
        <f t="shared" ref="F322:F385" si="33">TEXT(A322,"mmm yyyy")</f>
        <v>Nov 2021</v>
      </c>
      <c r="G322" t="str">
        <f t="shared" ref="G322:G385" si="34">"Q"&amp;ROUNDUP(MONTH(A322)/3,0)</f>
        <v>Q4</v>
      </c>
      <c r="H322">
        <f>IF(AirQuality[[#This Row],[pm25  (ug/m3)]]&gt;15,1,0)</f>
        <v>1</v>
      </c>
      <c r="I322" t="str">
        <f t="shared" ref="I322:I385" si="35">IF(B322&gt;15,"unsafe","safe")</f>
        <v>unsafe</v>
      </c>
      <c r="J322">
        <f>IF(AirQuality[[#This Row],[Air Quality Status]]="unsafe",J321+1,0)</f>
        <v>321</v>
      </c>
    </row>
    <row r="323" spans="1:10" x14ac:dyDescent="0.3">
      <c r="A323" s="1">
        <v>44526</v>
      </c>
      <c r="B323">
        <v>46</v>
      </c>
      <c r="C323">
        <f t="shared" si="30"/>
        <v>2021</v>
      </c>
      <c r="D323" t="str">
        <f t="shared" si="31"/>
        <v>November</v>
      </c>
      <c r="E323">
        <f t="shared" si="32"/>
        <v>11</v>
      </c>
      <c r="F323" t="str">
        <f t="shared" si="33"/>
        <v>Nov 2021</v>
      </c>
      <c r="G323" t="str">
        <f t="shared" si="34"/>
        <v>Q4</v>
      </c>
      <c r="H323">
        <f>IF(AirQuality[[#This Row],[pm25  (ug/m3)]]&gt;15,1,0)</f>
        <v>1</v>
      </c>
      <c r="I323" t="str">
        <f t="shared" si="35"/>
        <v>unsafe</v>
      </c>
      <c r="J323">
        <f>IF(AirQuality[[#This Row],[Air Quality Status]]="unsafe",J322+1,0)</f>
        <v>322</v>
      </c>
    </row>
    <row r="324" spans="1:10" x14ac:dyDescent="0.3">
      <c r="A324" s="1">
        <v>44527</v>
      </c>
      <c r="B324">
        <v>48</v>
      </c>
      <c r="C324">
        <f t="shared" si="30"/>
        <v>2021</v>
      </c>
      <c r="D324" t="str">
        <f t="shared" si="31"/>
        <v>November</v>
      </c>
      <c r="E324">
        <f t="shared" si="32"/>
        <v>11</v>
      </c>
      <c r="F324" t="str">
        <f t="shared" si="33"/>
        <v>Nov 2021</v>
      </c>
      <c r="G324" t="str">
        <f t="shared" si="34"/>
        <v>Q4</v>
      </c>
      <c r="H324">
        <f>IF(AirQuality[[#This Row],[pm25  (ug/m3)]]&gt;15,1,0)</f>
        <v>1</v>
      </c>
      <c r="I324" t="str">
        <f t="shared" si="35"/>
        <v>unsafe</v>
      </c>
      <c r="J324">
        <f>IF(AirQuality[[#This Row],[Air Quality Status]]="unsafe",J323+1,0)</f>
        <v>323</v>
      </c>
    </row>
    <row r="325" spans="1:10" x14ac:dyDescent="0.3">
      <c r="A325" s="1">
        <v>44528</v>
      </c>
      <c r="B325">
        <v>38</v>
      </c>
      <c r="C325">
        <f t="shared" si="30"/>
        <v>2021</v>
      </c>
      <c r="D325" t="str">
        <f t="shared" si="31"/>
        <v>November</v>
      </c>
      <c r="E325">
        <f t="shared" si="32"/>
        <v>11</v>
      </c>
      <c r="F325" t="str">
        <f t="shared" si="33"/>
        <v>Nov 2021</v>
      </c>
      <c r="G325" t="str">
        <f t="shared" si="34"/>
        <v>Q4</v>
      </c>
      <c r="H325">
        <f>IF(AirQuality[[#This Row],[pm25  (ug/m3)]]&gt;15,1,0)</f>
        <v>1</v>
      </c>
      <c r="I325" t="str">
        <f t="shared" si="35"/>
        <v>unsafe</v>
      </c>
      <c r="J325">
        <f>IF(AirQuality[[#This Row],[Air Quality Status]]="unsafe",J324+1,0)</f>
        <v>324</v>
      </c>
    </row>
    <row r="326" spans="1:10" x14ac:dyDescent="0.3">
      <c r="A326" s="1">
        <v>44529</v>
      </c>
      <c r="B326">
        <v>40</v>
      </c>
      <c r="C326">
        <f t="shared" si="30"/>
        <v>2021</v>
      </c>
      <c r="D326" t="str">
        <f t="shared" si="31"/>
        <v>November</v>
      </c>
      <c r="E326">
        <f t="shared" si="32"/>
        <v>11</v>
      </c>
      <c r="F326" t="str">
        <f t="shared" si="33"/>
        <v>Nov 2021</v>
      </c>
      <c r="G326" t="str">
        <f t="shared" si="34"/>
        <v>Q4</v>
      </c>
      <c r="H326">
        <f>IF(AirQuality[[#This Row],[pm25  (ug/m3)]]&gt;15,1,0)</f>
        <v>1</v>
      </c>
      <c r="I326" t="str">
        <f t="shared" si="35"/>
        <v>unsafe</v>
      </c>
      <c r="J326">
        <f>IF(AirQuality[[#This Row],[Air Quality Status]]="unsafe",J325+1,0)</f>
        <v>325</v>
      </c>
    </row>
    <row r="327" spans="1:10" x14ac:dyDescent="0.3">
      <c r="A327" s="1">
        <v>44530</v>
      </c>
      <c r="B327">
        <v>36</v>
      </c>
      <c r="C327">
        <f t="shared" si="30"/>
        <v>2021</v>
      </c>
      <c r="D327" t="str">
        <f t="shared" si="31"/>
        <v>November</v>
      </c>
      <c r="E327">
        <f t="shared" si="32"/>
        <v>11</v>
      </c>
      <c r="F327" t="str">
        <f t="shared" si="33"/>
        <v>Nov 2021</v>
      </c>
      <c r="G327" t="str">
        <f t="shared" si="34"/>
        <v>Q4</v>
      </c>
      <c r="H327">
        <f>IF(AirQuality[[#This Row],[pm25  (ug/m3)]]&gt;15,1,0)</f>
        <v>1</v>
      </c>
      <c r="I327" t="str">
        <f t="shared" si="35"/>
        <v>unsafe</v>
      </c>
      <c r="J327">
        <f>IF(AirQuality[[#This Row],[Air Quality Status]]="unsafe",J326+1,0)</f>
        <v>326</v>
      </c>
    </row>
    <row r="328" spans="1:10" x14ac:dyDescent="0.3">
      <c r="A328" s="1">
        <v>44531</v>
      </c>
      <c r="B328">
        <v>34</v>
      </c>
      <c r="C328">
        <f t="shared" si="30"/>
        <v>2021</v>
      </c>
      <c r="D328" t="str">
        <f t="shared" si="31"/>
        <v>December</v>
      </c>
      <c r="E328">
        <f t="shared" si="32"/>
        <v>12</v>
      </c>
      <c r="F328" t="str">
        <f t="shared" si="33"/>
        <v>Dec 2021</v>
      </c>
      <c r="G328" t="str">
        <f t="shared" si="34"/>
        <v>Q4</v>
      </c>
      <c r="H328">
        <f>IF(AirQuality[[#This Row],[pm25  (ug/m3)]]&gt;15,1,0)</f>
        <v>1</v>
      </c>
      <c r="I328" t="str">
        <f t="shared" si="35"/>
        <v>unsafe</v>
      </c>
      <c r="J328">
        <f>IF(AirQuality[[#This Row],[Air Quality Status]]="unsafe",J327+1,0)</f>
        <v>327</v>
      </c>
    </row>
    <row r="329" spans="1:10" x14ac:dyDescent="0.3">
      <c r="A329" s="1">
        <v>44532</v>
      </c>
      <c r="B329">
        <v>34</v>
      </c>
      <c r="C329">
        <f t="shared" si="30"/>
        <v>2021</v>
      </c>
      <c r="D329" t="str">
        <f t="shared" si="31"/>
        <v>December</v>
      </c>
      <c r="E329">
        <f t="shared" si="32"/>
        <v>12</v>
      </c>
      <c r="F329" t="str">
        <f t="shared" si="33"/>
        <v>Dec 2021</v>
      </c>
      <c r="G329" t="str">
        <f t="shared" si="34"/>
        <v>Q4</v>
      </c>
      <c r="H329">
        <f>IF(AirQuality[[#This Row],[pm25  (ug/m3)]]&gt;15,1,0)</f>
        <v>1</v>
      </c>
      <c r="I329" t="str">
        <f t="shared" si="35"/>
        <v>unsafe</v>
      </c>
      <c r="J329">
        <f>IF(AirQuality[[#This Row],[Air Quality Status]]="unsafe",J328+1,0)</f>
        <v>328</v>
      </c>
    </row>
    <row r="330" spans="1:10" x14ac:dyDescent="0.3">
      <c r="A330" s="1">
        <v>44533</v>
      </c>
      <c r="B330">
        <v>31</v>
      </c>
      <c r="C330">
        <f t="shared" si="30"/>
        <v>2021</v>
      </c>
      <c r="D330" t="str">
        <f t="shared" si="31"/>
        <v>December</v>
      </c>
      <c r="E330">
        <f t="shared" si="32"/>
        <v>12</v>
      </c>
      <c r="F330" t="str">
        <f t="shared" si="33"/>
        <v>Dec 2021</v>
      </c>
      <c r="G330" t="str">
        <f t="shared" si="34"/>
        <v>Q4</v>
      </c>
      <c r="H330">
        <f>IF(AirQuality[[#This Row],[pm25  (ug/m3)]]&gt;15,1,0)</f>
        <v>1</v>
      </c>
      <c r="I330" t="str">
        <f t="shared" si="35"/>
        <v>unsafe</v>
      </c>
      <c r="J330">
        <f>IF(AirQuality[[#This Row],[Air Quality Status]]="unsafe",J329+1,0)</f>
        <v>329</v>
      </c>
    </row>
    <row r="331" spans="1:10" x14ac:dyDescent="0.3">
      <c r="A331" s="1">
        <v>44543</v>
      </c>
      <c r="B331">
        <v>8</v>
      </c>
      <c r="C331">
        <f t="shared" si="30"/>
        <v>2021</v>
      </c>
      <c r="D331" t="str">
        <f t="shared" si="31"/>
        <v>December</v>
      </c>
      <c r="E331">
        <f t="shared" si="32"/>
        <v>12</v>
      </c>
      <c r="F331" t="str">
        <f t="shared" si="33"/>
        <v>Dec 2021</v>
      </c>
      <c r="G331" t="str">
        <f t="shared" si="34"/>
        <v>Q4</v>
      </c>
      <c r="H331">
        <f>IF(AirQuality[[#This Row],[pm25  (ug/m3)]]&gt;15,1,0)</f>
        <v>0</v>
      </c>
      <c r="I331" t="str">
        <f t="shared" si="35"/>
        <v>safe</v>
      </c>
      <c r="J331">
        <f>IF(AirQuality[[#This Row],[Air Quality Status]]="unsafe",J330+1,0)</f>
        <v>0</v>
      </c>
    </row>
    <row r="332" spans="1:10" x14ac:dyDescent="0.3">
      <c r="A332" s="1">
        <v>44544</v>
      </c>
      <c r="B332">
        <v>10</v>
      </c>
      <c r="C332">
        <f t="shared" si="30"/>
        <v>2021</v>
      </c>
      <c r="D332" t="str">
        <f t="shared" si="31"/>
        <v>December</v>
      </c>
      <c r="E332">
        <f t="shared" si="32"/>
        <v>12</v>
      </c>
      <c r="F332" t="str">
        <f t="shared" si="33"/>
        <v>Dec 2021</v>
      </c>
      <c r="G332" t="str">
        <f t="shared" si="34"/>
        <v>Q4</v>
      </c>
      <c r="H332">
        <f>IF(AirQuality[[#This Row],[pm25  (ug/m3)]]&gt;15,1,0)</f>
        <v>0</v>
      </c>
      <c r="I332" t="str">
        <f t="shared" si="35"/>
        <v>safe</v>
      </c>
      <c r="J332">
        <f>IF(AirQuality[[#This Row],[Air Quality Status]]="unsafe",J331+1,0)</f>
        <v>0</v>
      </c>
    </row>
    <row r="333" spans="1:10" x14ac:dyDescent="0.3">
      <c r="A333" s="1">
        <v>44545</v>
      </c>
      <c r="B333">
        <v>9</v>
      </c>
      <c r="C333">
        <f t="shared" si="30"/>
        <v>2021</v>
      </c>
      <c r="D333" t="str">
        <f t="shared" si="31"/>
        <v>December</v>
      </c>
      <c r="E333">
        <f t="shared" si="32"/>
        <v>12</v>
      </c>
      <c r="F333" t="str">
        <f t="shared" si="33"/>
        <v>Dec 2021</v>
      </c>
      <c r="G333" t="str">
        <f t="shared" si="34"/>
        <v>Q4</v>
      </c>
      <c r="H333">
        <f>IF(AirQuality[[#This Row],[pm25  (ug/m3)]]&gt;15,1,0)</f>
        <v>0</v>
      </c>
      <c r="I333" t="str">
        <f t="shared" si="35"/>
        <v>safe</v>
      </c>
      <c r="J333">
        <f>IF(AirQuality[[#This Row],[Air Quality Status]]="unsafe",J332+1,0)</f>
        <v>0</v>
      </c>
    </row>
    <row r="334" spans="1:10" x14ac:dyDescent="0.3">
      <c r="A334" s="1">
        <v>44546</v>
      </c>
      <c r="B334">
        <v>7</v>
      </c>
      <c r="C334">
        <f t="shared" si="30"/>
        <v>2021</v>
      </c>
      <c r="D334" t="str">
        <f t="shared" si="31"/>
        <v>December</v>
      </c>
      <c r="E334">
        <f t="shared" si="32"/>
        <v>12</v>
      </c>
      <c r="F334" t="str">
        <f t="shared" si="33"/>
        <v>Dec 2021</v>
      </c>
      <c r="G334" t="str">
        <f t="shared" si="34"/>
        <v>Q4</v>
      </c>
      <c r="H334">
        <f>IF(AirQuality[[#This Row],[pm25  (ug/m3)]]&gt;15,1,0)</f>
        <v>0</v>
      </c>
      <c r="I334" t="str">
        <f t="shared" si="35"/>
        <v>safe</v>
      </c>
      <c r="J334">
        <f>IF(AirQuality[[#This Row],[Air Quality Status]]="unsafe",J333+1,0)</f>
        <v>0</v>
      </c>
    </row>
    <row r="335" spans="1:10" x14ac:dyDescent="0.3">
      <c r="A335" s="1">
        <v>44547</v>
      </c>
      <c r="B335">
        <v>7</v>
      </c>
      <c r="C335">
        <f t="shared" si="30"/>
        <v>2021</v>
      </c>
      <c r="D335" t="str">
        <f t="shared" si="31"/>
        <v>December</v>
      </c>
      <c r="E335">
        <f t="shared" si="32"/>
        <v>12</v>
      </c>
      <c r="F335" t="str">
        <f t="shared" si="33"/>
        <v>Dec 2021</v>
      </c>
      <c r="G335" t="str">
        <f t="shared" si="34"/>
        <v>Q4</v>
      </c>
      <c r="H335">
        <f>IF(AirQuality[[#This Row],[pm25  (ug/m3)]]&gt;15,1,0)</f>
        <v>0</v>
      </c>
      <c r="I335" t="str">
        <f t="shared" si="35"/>
        <v>safe</v>
      </c>
      <c r="J335">
        <f>IF(AirQuality[[#This Row],[Air Quality Status]]="unsafe",J334+1,0)</f>
        <v>0</v>
      </c>
    </row>
    <row r="336" spans="1:10" x14ac:dyDescent="0.3">
      <c r="A336" s="1">
        <v>44548</v>
      </c>
      <c r="B336">
        <v>6</v>
      </c>
      <c r="C336">
        <f t="shared" si="30"/>
        <v>2021</v>
      </c>
      <c r="D336" t="str">
        <f t="shared" si="31"/>
        <v>December</v>
      </c>
      <c r="E336">
        <f t="shared" si="32"/>
        <v>12</v>
      </c>
      <c r="F336" t="str">
        <f t="shared" si="33"/>
        <v>Dec 2021</v>
      </c>
      <c r="G336" t="str">
        <f t="shared" si="34"/>
        <v>Q4</v>
      </c>
      <c r="H336">
        <f>IF(AirQuality[[#This Row],[pm25  (ug/m3)]]&gt;15,1,0)</f>
        <v>0</v>
      </c>
      <c r="I336" t="str">
        <f t="shared" si="35"/>
        <v>safe</v>
      </c>
      <c r="J336">
        <f>IF(AirQuality[[#This Row],[Air Quality Status]]="unsafe",J335+1,0)</f>
        <v>0</v>
      </c>
    </row>
    <row r="337" spans="1:10" x14ac:dyDescent="0.3">
      <c r="A337" s="1">
        <v>44549</v>
      </c>
      <c r="B337">
        <v>6</v>
      </c>
      <c r="C337">
        <f t="shared" si="30"/>
        <v>2021</v>
      </c>
      <c r="D337" t="str">
        <f t="shared" si="31"/>
        <v>December</v>
      </c>
      <c r="E337">
        <f t="shared" si="32"/>
        <v>12</v>
      </c>
      <c r="F337" t="str">
        <f t="shared" si="33"/>
        <v>Dec 2021</v>
      </c>
      <c r="G337" t="str">
        <f t="shared" si="34"/>
        <v>Q4</v>
      </c>
      <c r="H337">
        <f>IF(AirQuality[[#This Row],[pm25  (ug/m3)]]&gt;15,1,0)</f>
        <v>0</v>
      </c>
      <c r="I337" t="str">
        <f t="shared" si="35"/>
        <v>safe</v>
      </c>
      <c r="J337">
        <f>IF(AirQuality[[#This Row],[Air Quality Status]]="unsafe",J336+1,0)</f>
        <v>0</v>
      </c>
    </row>
    <row r="338" spans="1:10" x14ac:dyDescent="0.3">
      <c r="A338" s="1">
        <v>44550</v>
      </c>
      <c r="B338">
        <v>3</v>
      </c>
      <c r="C338">
        <f t="shared" si="30"/>
        <v>2021</v>
      </c>
      <c r="D338" t="str">
        <f t="shared" si="31"/>
        <v>December</v>
      </c>
      <c r="E338">
        <f t="shared" si="32"/>
        <v>12</v>
      </c>
      <c r="F338" t="str">
        <f t="shared" si="33"/>
        <v>Dec 2021</v>
      </c>
      <c r="G338" t="str">
        <f t="shared" si="34"/>
        <v>Q4</v>
      </c>
      <c r="H338">
        <f>IF(AirQuality[[#This Row],[pm25  (ug/m3)]]&gt;15,1,0)</f>
        <v>0</v>
      </c>
      <c r="I338" t="str">
        <f t="shared" si="35"/>
        <v>safe</v>
      </c>
      <c r="J338">
        <f>IF(AirQuality[[#This Row],[Air Quality Status]]="unsafe",J337+1,0)</f>
        <v>0</v>
      </c>
    </row>
    <row r="339" spans="1:10" x14ac:dyDescent="0.3">
      <c r="A339" s="1">
        <v>44551</v>
      </c>
      <c r="B339">
        <v>2</v>
      </c>
      <c r="C339">
        <f t="shared" si="30"/>
        <v>2021</v>
      </c>
      <c r="D339" t="str">
        <f t="shared" si="31"/>
        <v>December</v>
      </c>
      <c r="E339">
        <f t="shared" si="32"/>
        <v>12</v>
      </c>
      <c r="F339" t="str">
        <f t="shared" si="33"/>
        <v>Dec 2021</v>
      </c>
      <c r="G339" t="str">
        <f t="shared" si="34"/>
        <v>Q4</v>
      </c>
      <c r="H339">
        <f>IF(AirQuality[[#This Row],[pm25  (ug/m3)]]&gt;15,1,0)</f>
        <v>0</v>
      </c>
      <c r="I339" t="str">
        <f t="shared" si="35"/>
        <v>safe</v>
      </c>
      <c r="J339">
        <f>IF(AirQuality[[#This Row],[Air Quality Status]]="unsafe",J338+1,0)</f>
        <v>0</v>
      </c>
    </row>
    <row r="340" spans="1:10" x14ac:dyDescent="0.3">
      <c r="A340" s="1">
        <v>44552</v>
      </c>
      <c r="B340">
        <v>2</v>
      </c>
      <c r="C340">
        <f t="shared" si="30"/>
        <v>2021</v>
      </c>
      <c r="D340" t="str">
        <f t="shared" si="31"/>
        <v>December</v>
      </c>
      <c r="E340">
        <f t="shared" si="32"/>
        <v>12</v>
      </c>
      <c r="F340" t="str">
        <f t="shared" si="33"/>
        <v>Dec 2021</v>
      </c>
      <c r="G340" t="str">
        <f t="shared" si="34"/>
        <v>Q4</v>
      </c>
      <c r="H340">
        <f>IF(AirQuality[[#This Row],[pm25  (ug/m3)]]&gt;15,1,0)</f>
        <v>0</v>
      </c>
      <c r="I340" t="str">
        <f t="shared" si="35"/>
        <v>safe</v>
      </c>
      <c r="J340">
        <f>IF(AirQuality[[#This Row],[Air Quality Status]]="unsafe",J339+1,0)</f>
        <v>0</v>
      </c>
    </row>
    <row r="341" spans="1:10" x14ac:dyDescent="0.3">
      <c r="A341" s="1">
        <v>44553</v>
      </c>
      <c r="B341">
        <v>2</v>
      </c>
      <c r="C341">
        <f t="shared" si="30"/>
        <v>2021</v>
      </c>
      <c r="D341" t="str">
        <f t="shared" si="31"/>
        <v>December</v>
      </c>
      <c r="E341">
        <f t="shared" si="32"/>
        <v>12</v>
      </c>
      <c r="F341" t="str">
        <f t="shared" si="33"/>
        <v>Dec 2021</v>
      </c>
      <c r="G341" t="str">
        <f t="shared" si="34"/>
        <v>Q4</v>
      </c>
      <c r="H341">
        <f>IF(AirQuality[[#This Row],[pm25  (ug/m3)]]&gt;15,1,0)</f>
        <v>0</v>
      </c>
      <c r="I341" t="str">
        <f t="shared" si="35"/>
        <v>safe</v>
      </c>
      <c r="J341">
        <f>IF(AirQuality[[#This Row],[Air Quality Status]]="unsafe",J340+1,0)</f>
        <v>0</v>
      </c>
    </row>
    <row r="342" spans="1:10" x14ac:dyDescent="0.3">
      <c r="A342" s="1">
        <v>44554</v>
      </c>
      <c r="B342">
        <v>1</v>
      </c>
      <c r="C342">
        <f t="shared" si="30"/>
        <v>2021</v>
      </c>
      <c r="D342" t="str">
        <f t="shared" si="31"/>
        <v>December</v>
      </c>
      <c r="E342">
        <f t="shared" si="32"/>
        <v>12</v>
      </c>
      <c r="F342" t="str">
        <f t="shared" si="33"/>
        <v>Dec 2021</v>
      </c>
      <c r="G342" t="str">
        <f t="shared" si="34"/>
        <v>Q4</v>
      </c>
      <c r="H342">
        <f>IF(AirQuality[[#This Row],[pm25  (ug/m3)]]&gt;15,1,0)</f>
        <v>0</v>
      </c>
      <c r="I342" t="str">
        <f t="shared" si="35"/>
        <v>safe</v>
      </c>
      <c r="J342">
        <f>IF(AirQuality[[#This Row],[Air Quality Status]]="unsafe",J341+1,0)</f>
        <v>0</v>
      </c>
    </row>
    <row r="343" spans="1:10" x14ac:dyDescent="0.3">
      <c r="A343" s="1">
        <v>44555</v>
      </c>
      <c r="B343">
        <v>1</v>
      </c>
      <c r="C343">
        <f t="shared" si="30"/>
        <v>2021</v>
      </c>
      <c r="D343" t="str">
        <f t="shared" si="31"/>
        <v>December</v>
      </c>
      <c r="E343">
        <f t="shared" si="32"/>
        <v>12</v>
      </c>
      <c r="F343" t="str">
        <f t="shared" si="33"/>
        <v>Dec 2021</v>
      </c>
      <c r="G343" t="str">
        <f t="shared" si="34"/>
        <v>Q4</v>
      </c>
      <c r="H343">
        <f>IF(AirQuality[[#This Row],[pm25  (ug/m3)]]&gt;15,1,0)</f>
        <v>0</v>
      </c>
      <c r="I343" t="str">
        <f t="shared" si="35"/>
        <v>safe</v>
      </c>
      <c r="J343">
        <f>IF(AirQuality[[#This Row],[Air Quality Status]]="unsafe",J342+1,0)</f>
        <v>0</v>
      </c>
    </row>
    <row r="344" spans="1:10" x14ac:dyDescent="0.3">
      <c r="A344" s="1">
        <v>44556</v>
      </c>
      <c r="B344">
        <v>1</v>
      </c>
      <c r="C344">
        <f t="shared" si="30"/>
        <v>2021</v>
      </c>
      <c r="D344" t="str">
        <f t="shared" si="31"/>
        <v>December</v>
      </c>
      <c r="E344">
        <f t="shared" si="32"/>
        <v>12</v>
      </c>
      <c r="F344" t="str">
        <f t="shared" si="33"/>
        <v>Dec 2021</v>
      </c>
      <c r="G344" t="str">
        <f t="shared" si="34"/>
        <v>Q4</v>
      </c>
      <c r="H344">
        <f>IF(AirQuality[[#This Row],[pm25  (ug/m3)]]&gt;15,1,0)</f>
        <v>0</v>
      </c>
      <c r="I344" t="str">
        <f t="shared" si="35"/>
        <v>safe</v>
      </c>
      <c r="J344">
        <f>IF(AirQuality[[#This Row],[Air Quality Status]]="unsafe",J343+1,0)</f>
        <v>0</v>
      </c>
    </row>
    <row r="345" spans="1:10" x14ac:dyDescent="0.3">
      <c r="A345" s="1">
        <v>44557</v>
      </c>
      <c r="B345">
        <v>1</v>
      </c>
      <c r="C345">
        <f t="shared" si="30"/>
        <v>2021</v>
      </c>
      <c r="D345" t="str">
        <f t="shared" si="31"/>
        <v>December</v>
      </c>
      <c r="E345">
        <f t="shared" si="32"/>
        <v>12</v>
      </c>
      <c r="F345" t="str">
        <f t="shared" si="33"/>
        <v>Dec 2021</v>
      </c>
      <c r="G345" t="str">
        <f t="shared" si="34"/>
        <v>Q4</v>
      </c>
      <c r="H345">
        <f>IF(AirQuality[[#This Row],[pm25  (ug/m3)]]&gt;15,1,0)</f>
        <v>0</v>
      </c>
      <c r="I345" t="str">
        <f t="shared" si="35"/>
        <v>safe</v>
      </c>
      <c r="J345">
        <f>IF(AirQuality[[#This Row],[Air Quality Status]]="unsafe",J344+1,0)</f>
        <v>0</v>
      </c>
    </row>
    <row r="346" spans="1:10" x14ac:dyDescent="0.3">
      <c r="A346" s="1">
        <v>44558</v>
      </c>
      <c r="B346">
        <v>1</v>
      </c>
      <c r="C346">
        <f t="shared" si="30"/>
        <v>2021</v>
      </c>
      <c r="D346" t="str">
        <f t="shared" si="31"/>
        <v>December</v>
      </c>
      <c r="E346">
        <f t="shared" si="32"/>
        <v>12</v>
      </c>
      <c r="F346" t="str">
        <f t="shared" si="33"/>
        <v>Dec 2021</v>
      </c>
      <c r="G346" t="str">
        <f t="shared" si="34"/>
        <v>Q4</v>
      </c>
      <c r="H346">
        <f>IF(AirQuality[[#This Row],[pm25  (ug/m3)]]&gt;15,1,0)</f>
        <v>0</v>
      </c>
      <c r="I346" t="str">
        <f t="shared" si="35"/>
        <v>safe</v>
      </c>
      <c r="J346">
        <f>IF(AirQuality[[#This Row],[Air Quality Status]]="unsafe",J345+1,0)</f>
        <v>0</v>
      </c>
    </row>
    <row r="347" spans="1:10" x14ac:dyDescent="0.3">
      <c r="A347" s="1">
        <v>44559</v>
      </c>
      <c r="B347">
        <v>1</v>
      </c>
      <c r="C347">
        <f t="shared" si="30"/>
        <v>2021</v>
      </c>
      <c r="D347" t="str">
        <f t="shared" si="31"/>
        <v>December</v>
      </c>
      <c r="E347">
        <f t="shared" si="32"/>
        <v>12</v>
      </c>
      <c r="F347" t="str">
        <f t="shared" si="33"/>
        <v>Dec 2021</v>
      </c>
      <c r="G347" t="str">
        <f t="shared" si="34"/>
        <v>Q4</v>
      </c>
      <c r="H347">
        <f>IF(AirQuality[[#This Row],[pm25  (ug/m3)]]&gt;15,1,0)</f>
        <v>0</v>
      </c>
      <c r="I347" t="str">
        <f t="shared" si="35"/>
        <v>safe</v>
      </c>
      <c r="J347">
        <f>IF(AirQuality[[#This Row],[Air Quality Status]]="unsafe",J346+1,0)</f>
        <v>0</v>
      </c>
    </row>
    <row r="348" spans="1:10" x14ac:dyDescent="0.3">
      <c r="A348" s="1">
        <v>44560</v>
      </c>
      <c r="B348">
        <v>1</v>
      </c>
      <c r="C348">
        <f t="shared" si="30"/>
        <v>2021</v>
      </c>
      <c r="D348" t="str">
        <f t="shared" si="31"/>
        <v>December</v>
      </c>
      <c r="E348">
        <f t="shared" si="32"/>
        <v>12</v>
      </c>
      <c r="F348" t="str">
        <f t="shared" si="33"/>
        <v>Dec 2021</v>
      </c>
      <c r="G348" t="str">
        <f t="shared" si="34"/>
        <v>Q4</v>
      </c>
      <c r="H348">
        <f>IF(AirQuality[[#This Row],[pm25  (ug/m3)]]&gt;15,1,0)</f>
        <v>0</v>
      </c>
      <c r="I348" t="str">
        <f t="shared" si="35"/>
        <v>safe</v>
      </c>
      <c r="J348">
        <f>IF(AirQuality[[#This Row],[Air Quality Status]]="unsafe",J347+1,0)</f>
        <v>0</v>
      </c>
    </row>
    <row r="349" spans="1:10" x14ac:dyDescent="0.3">
      <c r="A349" s="1">
        <v>44561</v>
      </c>
      <c r="B349">
        <v>1</v>
      </c>
      <c r="C349">
        <f t="shared" si="30"/>
        <v>2021</v>
      </c>
      <c r="D349" t="str">
        <f t="shared" si="31"/>
        <v>December</v>
      </c>
      <c r="E349">
        <f t="shared" si="32"/>
        <v>12</v>
      </c>
      <c r="F349" t="str">
        <f t="shared" si="33"/>
        <v>Dec 2021</v>
      </c>
      <c r="G349" t="str">
        <f t="shared" si="34"/>
        <v>Q4</v>
      </c>
      <c r="H349">
        <f>IF(AirQuality[[#This Row],[pm25  (ug/m3)]]&gt;15,1,0)</f>
        <v>0</v>
      </c>
      <c r="I349" t="str">
        <f t="shared" si="35"/>
        <v>safe</v>
      </c>
      <c r="J349">
        <f>IF(AirQuality[[#This Row],[Air Quality Status]]="unsafe",J348+1,0)</f>
        <v>0</v>
      </c>
    </row>
    <row r="350" spans="1:10" x14ac:dyDescent="0.3">
      <c r="A350" s="1">
        <v>44562</v>
      </c>
      <c r="B350">
        <v>1</v>
      </c>
      <c r="C350">
        <f t="shared" si="30"/>
        <v>2022</v>
      </c>
      <c r="D350" t="str">
        <f t="shared" si="31"/>
        <v>January</v>
      </c>
      <c r="E350">
        <f t="shared" si="32"/>
        <v>1</v>
      </c>
      <c r="F350" t="str">
        <f t="shared" si="33"/>
        <v>Jan 2022</v>
      </c>
      <c r="G350" t="str">
        <f t="shared" si="34"/>
        <v>Q1</v>
      </c>
      <c r="H350">
        <f>IF(AirQuality[[#This Row],[pm25  (ug/m3)]]&gt;15,1,0)</f>
        <v>0</v>
      </c>
      <c r="I350" t="str">
        <f t="shared" si="35"/>
        <v>safe</v>
      </c>
      <c r="J350">
        <f>IF(AirQuality[[#This Row],[Air Quality Status]]="unsafe",J349+1,0)</f>
        <v>0</v>
      </c>
    </row>
    <row r="351" spans="1:10" x14ac:dyDescent="0.3">
      <c r="A351" s="1">
        <v>44563</v>
      </c>
      <c r="B351">
        <v>1</v>
      </c>
      <c r="C351">
        <f t="shared" si="30"/>
        <v>2022</v>
      </c>
      <c r="D351" t="str">
        <f t="shared" si="31"/>
        <v>January</v>
      </c>
      <c r="E351">
        <f t="shared" si="32"/>
        <v>1</v>
      </c>
      <c r="F351" t="str">
        <f t="shared" si="33"/>
        <v>Jan 2022</v>
      </c>
      <c r="G351" t="str">
        <f t="shared" si="34"/>
        <v>Q1</v>
      </c>
      <c r="H351">
        <f>IF(AirQuality[[#This Row],[pm25  (ug/m3)]]&gt;15,1,0)</f>
        <v>0</v>
      </c>
      <c r="I351" t="str">
        <f t="shared" si="35"/>
        <v>safe</v>
      </c>
      <c r="J351">
        <f>IF(AirQuality[[#This Row],[Air Quality Status]]="unsafe",J350+1,0)</f>
        <v>0</v>
      </c>
    </row>
    <row r="352" spans="1:10" x14ac:dyDescent="0.3">
      <c r="A352" s="1">
        <v>44564</v>
      </c>
      <c r="B352">
        <v>1</v>
      </c>
      <c r="C352">
        <f t="shared" si="30"/>
        <v>2022</v>
      </c>
      <c r="D352" t="str">
        <f t="shared" si="31"/>
        <v>January</v>
      </c>
      <c r="E352">
        <f t="shared" si="32"/>
        <v>1</v>
      </c>
      <c r="F352" t="str">
        <f t="shared" si="33"/>
        <v>Jan 2022</v>
      </c>
      <c r="G352" t="str">
        <f t="shared" si="34"/>
        <v>Q1</v>
      </c>
      <c r="H352">
        <f>IF(AirQuality[[#This Row],[pm25  (ug/m3)]]&gt;15,1,0)</f>
        <v>0</v>
      </c>
      <c r="I352" t="str">
        <f t="shared" si="35"/>
        <v>safe</v>
      </c>
      <c r="J352">
        <f>IF(AirQuality[[#This Row],[Air Quality Status]]="unsafe",J351+1,0)</f>
        <v>0</v>
      </c>
    </row>
    <row r="353" spans="1:10" x14ac:dyDescent="0.3">
      <c r="A353" s="1">
        <v>44571</v>
      </c>
      <c r="B353">
        <v>141</v>
      </c>
      <c r="C353">
        <f t="shared" si="30"/>
        <v>2022</v>
      </c>
      <c r="D353" t="str">
        <f t="shared" si="31"/>
        <v>January</v>
      </c>
      <c r="E353">
        <f t="shared" si="32"/>
        <v>1</v>
      </c>
      <c r="F353" t="str">
        <f t="shared" si="33"/>
        <v>Jan 2022</v>
      </c>
      <c r="G353" t="str">
        <f t="shared" si="34"/>
        <v>Q1</v>
      </c>
      <c r="H353">
        <f>IF(AirQuality[[#This Row],[pm25  (ug/m3)]]&gt;15,1,0)</f>
        <v>1</v>
      </c>
      <c r="I353" t="str">
        <f t="shared" si="35"/>
        <v>unsafe</v>
      </c>
      <c r="J353">
        <f>IF(AirQuality[[#This Row],[Air Quality Status]]="unsafe",J352+1,0)</f>
        <v>1</v>
      </c>
    </row>
    <row r="354" spans="1:10" x14ac:dyDescent="0.3">
      <c r="A354" s="1">
        <v>44572</v>
      </c>
      <c r="B354">
        <v>152</v>
      </c>
      <c r="C354">
        <f t="shared" si="30"/>
        <v>2022</v>
      </c>
      <c r="D354" t="str">
        <f t="shared" si="31"/>
        <v>January</v>
      </c>
      <c r="E354">
        <f t="shared" si="32"/>
        <v>1</v>
      </c>
      <c r="F354" t="str">
        <f t="shared" si="33"/>
        <v>Jan 2022</v>
      </c>
      <c r="G354" t="str">
        <f t="shared" si="34"/>
        <v>Q1</v>
      </c>
      <c r="H354">
        <f>IF(AirQuality[[#This Row],[pm25  (ug/m3)]]&gt;15,1,0)</f>
        <v>1</v>
      </c>
      <c r="I354" t="str">
        <f t="shared" si="35"/>
        <v>unsafe</v>
      </c>
      <c r="J354">
        <f>IF(AirQuality[[#This Row],[Air Quality Status]]="unsafe",J353+1,0)</f>
        <v>2</v>
      </c>
    </row>
    <row r="355" spans="1:10" x14ac:dyDescent="0.3">
      <c r="A355" s="1">
        <v>44573</v>
      </c>
      <c r="B355">
        <v>130</v>
      </c>
      <c r="C355">
        <f t="shared" si="30"/>
        <v>2022</v>
      </c>
      <c r="D355" t="str">
        <f t="shared" si="31"/>
        <v>January</v>
      </c>
      <c r="E355">
        <f t="shared" si="32"/>
        <v>1</v>
      </c>
      <c r="F355" t="str">
        <f t="shared" si="33"/>
        <v>Jan 2022</v>
      </c>
      <c r="G355" t="str">
        <f t="shared" si="34"/>
        <v>Q1</v>
      </c>
      <c r="H355">
        <f>IF(AirQuality[[#This Row],[pm25  (ug/m3)]]&gt;15,1,0)</f>
        <v>1</v>
      </c>
      <c r="I355" t="str">
        <f t="shared" si="35"/>
        <v>unsafe</v>
      </c>
      <c r="J355">
        <f>IF(AirQuality[[#This Row],[Air Quality Status]]="unsafe",J354+1,0)</f>
        <v>3</v>
      </c>
    </row>
    <row r="356" spans="1:10" x14ac:dyDescent="0.3">
      <c r="A356" s="1">
        <v>44574</v>
      </c>
      <c r="B356">
        <v>126</v>
      </c>
      <c r="C356">
        <f t="shared" si="30"/>
        <v>2022</v>
      </c>
      <c r="D356" t="str">
        <f t="shared" si="31"/>
        <v>January</v>
      </c>
      <c r="E356">
        <f t="shared" si="32"/>
        <v>1</v>
      </c>
      <c r="F356" t="str">
        <f t="shared" si="33"/>
        <v>Jan 2022</v>
      </c>
      <c r="G356" t="str">
        <f t="shared" si="34"/>
        <v>Q1</v>
      </c>
      <c r="H356">
        <f>IF(AirQuality[[#This Row],[pm25  (ug/m3)]]&gt;15,1,0)</f>
        <v>1</v>
      </c>
      <c r="I356" t="str">
        <f t="shared" si="35"/>
        <v>unsafe</v>
      </c>
      <c r="J356">
        <f>IF(AirQuality[[#This Row],[Air Quality Status]]="unsafe",J355+1,0)</f>
        <v>4</v>
      </c>
    </row>
    <row r="357" spans="1:10" x14ac:dyDescent="0.3">
      <c r="A357" s="1">
        <v>44575</v>
      </c>
      <c r="B357">
        <v>130</v>
      </c>
      <c r="C357">
        <f t="shared" si="30"/>
        <v>2022</v>
      </c>
      <c r="D357" t="str">
        <f t="shared" si="31"/>
        <v>January</v>
      </c>
      <c r="E357">
        <f t="shared" si="32"/>
        <v>1</v>
      </c>
      <c r="F357" t="str">
        <f t="shared" si="33"/>
        <v>Jan 2022</v>
      </c>
      <c r="G357" t="str">
        <f t="shared" si="34"/>
        <v>Q1</v>
      </c>
      <c r="H357">
        <f>IF(AirQuality[[#This Row],[pm25  (ug/m3)]]&gt;15,1,0)</f>
        <v>1</v>
      </c>
      <c r="I357" t="str">
        <f t="shared" si="35"/>
        <v>unsafe</v>
      </c>
      <c r="J357">
        <f>IF(AirQuality[[#This Row],[Air Quality Status]]="unsafe",J356+1,0)</f>
        <v>5</v>
      </c>
    </row>
    <row r="358" spans="1:10" x14ac:dyDescent="0.3">
      <c r="A358" s="1">
        <v>44576</v>
      </c>
      <c r="B358">
        <v>134</v>
      </c>
      <c r="C358">
        <f t="shared" si="30"/>
        <v>2022</v>
      </c>
      <c r="D358" t="str">
        <f t="shared" si="31"/>
        <v>January</v>
      </c>
      <c r="E358">
        <f t="shared" si="32"/>
        <v>1</v>
      </c>
      <c r="F358" t="str">
        <f t="shared" si="33"/>
        <v>Jan 2022</v>
      </c>
      <c r="G358" t="str">
        <f t="shared" si="34"/>
        <v>Q1</v>
      </c>
      <c r="H358">
        <f>IF(AirQuality[[#This Row],[pm25  (ug/m3)]]&gt;15,1,0)</f>
        <v>1</v>
      </c>
      <c r="I358" t="str">
        <f t="shared" si="35"/>
        <v>unsafe</v>
      </c>
      <c r="J358">
        <f>IF(AirQuality[[#This Row],[Air Quality Status]]="unsafe",J357+1,0)</f>
        <v>6</v>
      </c>
    </row>
    <row r="359" spans="1:10" x14ac:dyDescent="0.3">
      <c r="A359" s="1">
        <v>44577</v>
      </c>
      <c r="B359">
        <v>123</v>
      </c>
      <c r="C359">
        <f t="shared" si="30"/>
        <v>2022</v>
      </c>
      <c r="D359" t="str">
        <f t="shared" si="31"/>
        <v>January</v>
      </c>
      <c r="E359">
        <f t="shared" si="32"/>
        <v>1</v>
      </c>
      <c r="F359" t="str">
        <f t="shared" si="33"/>
        <v>Jan 2022</v>
      </c>
      <c r="G359" t="str">
        <f t="shared" si="34"/>
        <v>Q1</v>
      </c>
      <c r="H359">
        <f>IF(AirQuality[[#This Row],[pm25  (ug/m3)]]&gt;15,1,0)</f>
        <v>1</v>
      </c>
      <c r="I359" t="str">
        <f t="shared" si="35"/>
        <v>unsafe</v>
      </c>
      <c r="J359">
        <f>IF(AirQuality[[#This Row],[Air Quality Status]]="unsafe",J358+1,0)</f>
        <v>7</v>
      </c>
    </row>
    <row r="360" spans="1:10" x14ac:dyDescent="0.3">
      <c r="A360" s="1">
        <v>44578</v>
      </c>
      <c r="B360">
        <v>117</v>
      </c>
      <c r="C360">
        <f t="shared" si="30"/>
        <v>2022</v>
      </c>
      <c r="D360" t="str">
        <f t="shared" si="31"/>
        <v>January</v>
      </c>
      <c r="E360">
        <f t="shared" si="32"/>
        <v>1</v>
      </c>
      <c r="F360" t="str">
        <f t="shared" si="33"/>
        <v>Jan 2022</v>
      </c>
      <c r="G360" t="str">
        <f t="shared" si="34"/>
        <v>Q1</v>
      </c>
      <c r="H360">
        <f>IF(AirQuality[[#This Row],[pm25  (ug/m3)]]&gt;15,1,0)</f>
        <v>1</v>
      </c>
      <c r="I360" t="str">
        <f t="shared" si="35"/>
        <v>unsafe</v>
      </c>
      <c r="J360">
        <f>IF(AirQuality[[#This Row],[Air Quality Status]]="unsafe",J359+1,0)</f>
        <v>8</v>
      </c>
    </row>
    <row r="361" spans="1:10" x14ac:dyDescent="0.3">
      <c r="A361" s="1">
        <v>44579</v>
      </c>
      <c r="B361">
        <v>125</v>
      </c>
      <c r="C361">
        <f t="shared" si="30"/>
        <v>2022</v>
      </c>
      <c r="D361" t="str">
        <f t="shared" si="31"/>
        <v>January</v>
      </c>
      <c r="E361">
        <f t="shared" si="32"/>
        <v>1</v>
      </c>
      <c r="F361" t="str">
        <f t="shared" si="33"/>
        <v>Jan 2022</v>
      </c>
      <c r="G361" t="str">
        <f t="shared" si="34"/>
        <v>Q1</v>
      </c>
      <c r="H361">
        <f>IF(AirQuality[[#This Row],[pm25  (ug/m3)]]&gt;15,1,0)</f>
        <v>1</v>
      </c>
      <c r="I361" t="str">
        <f t="shared" si="35"/>
        <v>unsafe</v>
      </c>
      <c r="J361">
        <f>IF(AirQuality[[#This Row],[Air Quality Status]]="unsafe",J360+1,0)</f>
        <v>9</v>
      </c>
    </row>
    <row r="362" spans="1:10" x14ac:dyDescent="0.3">
      <c r="A362" s="1">
        <v>44580</v>
      </c>
      <c r="B362">
        <v>160</v>
      </c>
      <c r="C362">
        <f t="shared" si="30"/>
        <v>2022</v>
      </c>
      <c r="D362" t="str">
        <f t="shared" si="31"/>
        <v>January</v>
      </c>
      <c r="E362">
        <f t="shared" si="32"/>
        <v>1</v>
      </c>
      <c r="F362" t="str">
        <f t="shared" si="33"/>
        <v>Jan 2022</v>
      </c>
      <c r="G362" t="str">
        <f t="shared" si="34"/>
        <v>Q1</v>
      </c>
      <c r="H362">
        <f>IF(AirQuality[[#This Row],[pm25  (ug/m3)]]&gt;15,1,0)</f>
        <v>1</v>
      </c>
      <c r="I362" t="str">
        <f t="shared" si="35"/>
        <v>unsafe</v>
      </c>
      <c r="J362">
        <f>IF(AirQuality[[#This Row],[Air Quality Status]]="unsafe",J361+1,0)</f>
        <v>10</v>
      </c>
    </row>
    <row r="363" spans="1:10" x14ac:dyDescent="0.3">
      <c r="A363" s="1">
        <v>44581</v>
      </c>
      <c r="B363">
        <v>223</v>
      </c>
      <c r="C363">
        <f t="shared" si="30"/>
        <v>2022</v>
      </c>
      <c r="D363" t="str">
        <f t="shared" si="31"/>
        <v>January</v>
      </c>
      <c r="E363">
        <f t="shared" si="32"/>
        <v>1</v>
      </c>
      <c r="F363" t="str">
        <f t="shared" si="33"/>
        <v>Jan 2022</v>
      </c>
      <c r="G363" t="str">
        <f t="shared" si="34"/>
        <v>Q1</v>
      </c>
      <c r="H363">
        <f>IF(AirQuality[[#This Row],[pm25  (ug/m3)]]&gt;15,1,0)</f>
        <v>1</v>
      </c>
      <c r="I363" t="str">
        <f t="shared" si="35"/>
        <v>unsafe</v>
      </c>
      <c r="J363">
        <f>IF(AirQuality[[#This Row],[Air Quality Status]]="unsafe",J362+1,0)</f>
        <v>11</v>
      </c>
    </row>
    <row r="364" spans="1:10" x14ac:dyDescent="0.3">
      <c r="A364" s="1">
        <v>44582</v>
      </c>
      <c r="B364">
        <v>281</v>
      </c>
      <c r="C364">
        <f t="shared" si="30"/>
        <v>2022</v>
      </c>
      <c r="D364" t="str">
        <f t="shared" si="31"/>
        <v>January</v>
      </c>
      <c r="E364">
        <f t="shared" si="32"/>
        <v>1</v>
      </c>
      <c r="F364" t="str">
        <f t="shared" si="33"/>
        <v>Jan 2022</v>
      </c>
      <c r="G364" t="str">
        <f t="shared" si="34"/>
        <v>Q1</v>
      </c>
      <c r="H364">
        <f>IF(AirQuality[[#This Row],[pm25  (ug/m3)]]&gt;15,1,0)</f>
        <v>1</v>
      </c>
      <c r="I364" t="str">
        <f t="shared" si="35"/>
        <v>unsafe</v>
      </c>
      <c r="J364">
        <f>IF(AirQuality[[#This Row],[Air Quality Status]]="unsafe",J363+1,0)</f>
        <v>12</v>
      </c>
    </row>
    <row r="365" spans="1:10" x14ac:dyDescent="0.3">
      <c r="A365" s="1">
        <v>44583</v>
      </c>
      <c r="B365">
        <v>270</v>
      </c>
      <c r="C365">
        <f t="shared" si="30"/>
        <v>2022</v>
      </c>
      <c r="D365" t="str">
        <f t="shared" si="31"/>
        <v>January</v>
      </c>
      <c r="E365">
        <f t="shared" si="32"/>
        <v>1</v>
      </c>
      <c r="F365" t="str">
        <f t="shared" si="33"/>
        <v>Jan 2022</v>
      </c>
      <c r="G365" t="str">
        <f t="shared" si="34"/>
        <v>Q1</v>
      </c>
      <c r="H365">
        <f>IF(AirQuality[[#This Row],[pm25  (ug/m3)]]&gt;15,1,0)</f>
        <v>1</v>
      </c>
      <c r="I365" t="str">
        <f t="shared" si="35"/>
        <v>unsafe</v>
      </c>
      <c r="J365">
        <f>IF(AirQuality[[#This Row],[Air Quality Status]]="unsafe",J364+1,0)</f>
        <v>13</v>
      </c>
    </row>
    <row r="366" spans="1:10" x14ac:dyDescent="0.3">
      <c r="A366" s="1">
        <v>44584</v>
      </c>
      <c r="B366">
        <v>268</v>
      </c>
      <c r="C366">
        <f t="shared" si="30"/>
        <v>2022</v>
      </c>
      <c r="D366" t="str">
        <f t="shared" si="31"/>
        <v>January</v>
      </c>
      <c r="E366">
        <f t="shared" si="32"/>
        <v>1</v>
      </c>
      <c r="F366" t="str">
        <f t="shared" si="33"/>
        <v>Jan 2022</v>
      </c>
      <c r="G366" t="str">
        <f t="shared" si="34"/>
        <v>Q1</v>
      </c>
      <c r="H366">
        <f>IF(AirQuality[[#This Row],[pm25  (ug/m3)]]&gt;15,1,0)</f>
        <v>1</v>
      </c>
      <c r="I366" t="str">
        <f t="shared" si="35"/>
        <v>unsafe</v>
      </c>
      <c r="J366">
        <f>IF(AirQuality[[#This Row],[Air Quality Status]]="unsafe",J365+1,0)</f>
        <v>14</v>
      </c>
    </row>
    <row r="367" spans="1:10" x14ac:dyDescent="0.3">
      <c r="A367" s="1">
        <v>44585</v>
      </c>
      <c r="B367">
        <v>228</v>
      </c>
      <c r="C367">
        <f t="shared" si="30"/>
        <v>2022</v>
      </c>
      <c r="D367" t="str">
        <f t="shared" si="31"/>
        <v>January</v>
      </c>
      <c r="E367">
        <f t="shared" si="32"/>
        <v>1</v>
      </c>
      <c r="F367" t="str">
        <f t="shared" si="33"/>
        <v>Jan 2022</v>
      </c>
      <c r="G367" t="str">
        <f t="shared" si="34"/>
        <v>Q1</v>
      </c>
      <c r="H367">
        <f>IF(AirQuality[[#This Row],[pm25  (ug/m3)]]&gt;15,1,0)</f>
        <v>1</v>
      </c>
      <c r="I367" t="str">
        <f t="shared" si="35"/>
        <v>unsafe</v>
      </c>
      <c r="J367">
        <f>IF(AirQuality[[#This Row],[Air Quality Status]]="unsafe",J366+1,0)</f>
        <v>15</v>
      </c>
    </row>
    <row r="368" spans="1:10" x14ac:dyDescent="0.3">
      <c r="A368" s="1">
        <v>44586</v>
      </c>
      <c r="B368">
        <v>199</v>
      </c>
      <c r="C368">
        <f t="shared" si="30"/>
        <v>2022</v>
      </c>
      <c r="D368" t="str">
        <f t="shared" si="31"/>
        <v>January</v>
      </c>
      <c r="E368">
        <f t="shared" si="32"/>
        <v>1</v>
      </c>
      <c r="F368" t="str">
        <f t="shared" si="33"/>
        <v>Jan 2022</v>
      </c>
      <c r="G368" t="str">
        <f t="shared" si="34"/>
        <v>Q1</v>
      </c>
      <c r="H368">
        <f>IF(AirQuality[[#This Row],[pm25  (ug/m3)]]&gt;15,1,0)</f>
        <v>1</v>
      </c>
      <c r="I368" t="str">
        <f t="shared" si="35"/>
        <v>unsafe</v>
      </c>
      <c r="J368">
        <f>IF(AirQuality[[#This Row],[Air Quality Status]]="unsafe",J367+1,0)</f>
        <v>16</v>
      </c>
    </row>
    <row r="369" spans="1:10" x14ac:dyDescent="0.3">
      <c r="A369" s="1">
        <v>44587</v>
      </c>
      <c r="B369">
        <v>264</v>
      </c>
      <c r="C369">
        <f t="shared" si="30"/>
        <v>2022</v>
      </c>
      <c r="D369" t="str">
        <f t="shared" si="31"/>
        <v>January</v>
      </c>
      <c r="E369">
        <f t="shared" si="32"/>
        <v>1</v>
      </c>
      <c r="F369" t="str">
        <f t="shared" si="33"/>
        <v>Jan 2022</v>
      </c>
      <c r="G369" t="str">
        <f t="shared" si="34"/>
        <v>Q1</v>
      </c>
      <c r="H369">
        <f>IF(AirQuality[[#This Row],[pm25  (ug/m3)]]&gt;15,1,0)</f>
        <v>1</v>
      </c>
      <c r="I369" t="str">
        <f t="shared" si="35"/>
        <v>unsafe</v>
      </c>
      <c r="J369">
        <f>IF(AirQuality[[#This Row],[Air Quality Status]]="unsafe",J368+1,0)</f>
        <v>17</v>
      </c>
    </row>
    <row r="370" spans="1:10" x14ac:dyDescent="0.3">
      <c r="A370" s="1">
        <v>44588</v>
      </c>
      <c r="B370">
        <v>257</v>
      </c>
      <c r="C370">
        <f t="shared" si="30"/>
        <v>2022</v>
      </c>
      <c r="D370" t="str">
        <f t="shared" si="31"/>
        <v>January</v>
      </c>
      <c r="E370">
        <f t="shared" si="32"/>
        <v>1</v>
      </c>
      <c r="F370" t="str">
        <f t="shared" si="33"/>
        <v>Jan 2022</v>
      </c>
      <c r="G370" t="str">
        <f t="shared" si="34"/>
        <v>Q1</v>
      </c>
      <c r="H370">
        <f>IF(AirQuality[[#This Row],[pm25  (ug/m3)]]&gt;15,1,0)</f>
        <v>1</v>
      </c>
      <c r="I370" t="str">
        <f t="shared" si="35"/>
        <v>unsafe</v>
      </c>
      <c r="J370">
        <f>IF(AirQuality[[#This Row],[Air Quality Status]]="unsafe",J369+1,0)</f>
        <v>18</v>
      </c>
    </row>
    <row r="371" spans="1:10" x14ac:dyDescent="0.3">
      <c r="A371" s="1">
        <v>44589</v>
      </c>
      <c r="B371">
        <v>208</v>
      </c>
      <c r="C371">
        <f t="shared" si="30"/>
        <v>2022</v>
      </c>
      <c r="D371" t="str">
        <f t="shared" si="31"/>
        <v>January</v>
      </c>
      <c r="E371">
        <f t="shared" si="32"/>
        <v>1</v>
      </c>
      <c r="F371" t="str">
        <f t="shared" si="33"/>
        <v>Jan 2022</v>
      </c>
      <c r="G371" t="str">
        <f t="shared" si="34"/>
        <v>Q1</v>
      </c>
      <c r="H371">
        <f>IF(AirQuality[[#This Row],[pm25  (ug/m3)]]&gt;15,1,0)</f>
        <v>1</v>
      </c>
      <c r="I371" t="str">
        <f t="shared" si="35"/>
        <v>unsafe</v>
      </c>
      <c r="J371">
        <f>IF(AirQuality[[#This Row],[Air Quality Status]]="unsafe",J370+1,0)</f>
        <v>19</v>
      </c>
    </row>
    <row r="372" spans="1:10" x14ac:dyDescent="0.3">
      <c r="A372" s="1">
        <v>44590</v>
      </c>
      <c r="B372">
        <v>284</v>
      </c>
      <c r="C372">
        <f t="shared" si="30"/>
        <v>2022</v>
      </c>
      <c r="D372" t="str">
        <f t="shared" si="31"/>
        <v>January</v>
      </c>
      <c r="E372">
        <f t="shared" si="32"/>
        <v>1</v>
      </c>
      <c r="F372" t="str">
        <f t="shared" si="33"/>
        <v>Jan 2022</v>
      </c>
      <c r="G372" t="str">
        <f t="shared" si="34"/>
        <v>Q1</v>
      </c>
      <c r="H372">
        <f>IF(AirQuality[[#This Row],[pm25  (ug/m3)]]&gt;15,1,0)</f>
        <v>1</v>
      </c>
      <c r="I372" t="str">
        <f t="shared" si="35"/>
        <v>unsafe</v>
      </c>
      <c r="J372">
        <f>IF(AirQuality[[#This Row],[Air Quality Status]]="unsafe",J371+1,0)</f>
        <v>20</v>
      </c>
    </row>
    <row r="373" spans="1:10" x14ac:dyDescent="0.3">
      <c r="A373" s="1">
        <v>44591</v>
      </c>
      <c r="B373">
        <v>334</v>
      </c>
      <c r="C373">
        <f t="shared" si="30"/>
        <v>2022</v>
      </c>
      <c r="D373" t="str">
        <f t="shared" si="31"/>
        <v>January</v>
      </c>
      <c r="E373">
        <f t="shared" si="32"/>
        <v>1</v>
      </c>
      <c r="F373" t="str">
        <f t="shared" si="33"/>
        <v>Jan 2022</v>
      </c>
      <c r="G373" t="str">
        <f t="shared" si="34"/>
        <v>Q1</v>
      </c>
      <c r="H373">
        <f>IF(AirQuality[[#This Row],[pm25  (ug/m3)]]&gt;15,1,0)</f>
        <v>1</v>
      </c>
      <c r="I373" t="str">
        <f t="shared" si="35"/>
        <v>unsafe</v>
      </c>
      <c r="J373">
        <f>IF(AirQuality[[#This Row],[Air Quality Status]]="unsafe",J372+1,0)</f>
        <v>21</v>
      </c>
    </row>
    <row r="374" spans="1:10" x14ac:dyDescent="0.3">
      <c r="A374" s="1">
        <v>44592</v>
      </c>
      <c r="B374">
        <v>278</v>
      </c>
      <c r="C374">
        <f t="shared" si="30"/>
        <v>2022</v>
      </c>
      <c r="D374" t="str">
        <f t="shared" si="31"/>
        <v>January</v>
      </c>
      <c r="E374">
        <f t="shared" si="32"/>
        <v>1</v>
      </c>
      <c r="F374" t="str">
        <f t="shared" si="33"/>
        <v>Jan 2022</v>
      </c>
      <c r="G374" t="str">
        <f t="shared" si="34"/>
        <v>Q1</v>
      </c>
      <c r="H374">
        <f>IF(AirQuality[[#This Row],[pm25  (ug/m3)]]&gt;15,1,0)</f>
        <v>1</v>
      </c>
      <c r="I374" t="str">
        <f t="shared" si="35"/>
        <v>unsafe</v>
      </c>
      <c r="J374">
        <f>IF(AirQuality[[#This Row],[Air Quality Status]]="unsafe",J373+1,0)</f>
        <v>22</v>
      </c>
    </row>
    <row r="375" spans="1:10" x14ac:dyDescent="0.3">
      <c r="A375" s="1">
        <v>44593</v>
      </c>
      <c r="B375">
        <v>257</v>
      </c>
      <c r="C375">
        <f t="shared" si="30"/>
        <v>2022</v>
      </c>
      <c r="D375" t="str">
        <f t="shared" si="31"/>
        <v>February</v>
      </c>
      <c r="E375">
        <f t="shared" si="32"/>
        <v>2</v>
      </c>
      <c r="F375" t="str">
        <f t="shared" si="33"/>
        <v>Feb 2022</v>
      </c>
      <c r="G375" t="str">
        <f t="shared" si="34"/>
        <v>Q1</v>
      </c>
      <c r="H375">
        <f>IF(AirQuality[[#This Row],[pm25  (ug/m3)]]&gt;15,1,0)</f>
        <v>1</v>
      </c>
      <c r="I375" t="str">
        <f t="shared" si="35"/>
        <v>unsafe</v>
      </c>
      <c r="J375">
        <f>IF(AirQuality[[#This Row],[Air Quality Status]]="unsafe",J374+1,0)</f>
        <v>23</v>
      </c>
    </row>
    <row r="376" spans="1:10" x14ac:dyDescent="0.3">
      <c r="A376" s="1">
        <v>44594</v>
      </c>
      <c r="B376">
        <v>218</v>
      </c>
      <c r="C376">
        <f t="shared" si="30"/>
        <v>2022</v>
      </c>
      <c r="D376" t="str">
        <f t="shared" si="31"/>
        <v>February</v>
      </c>
      <c r="E376">
        <f t="shared" si="32"/>
        <v>2</v>
      </c>
      <c r="F376" t="str">
        <f t="shared" si="33"/>
        <v>Feb 2022</v>
      </c>
      <c r="G376" t="str">
        <f t="shared" si="34"/>
        <v>Q1</v>
      </c>
      <c r="H376">
        <f>IF(AirQuality[[#This Row],[pm25  (ug/m3)]]&gt;15,1,0)</f>
        <v>1</v>
      </c>
      <c r="I376" t="str">
        <f t="shared" si="35"/>
        <v>unsafe</v>
      </c>
      <c r="J376">
        <f>IF(AirQuality[[#This Row],[Air Quality Status]]="unsafe",J375+1,0)</f>
        <v>24</v>
      </c>
    </row>
    <row r="377" spans="1:10" x14ac:dyDescent="0.3">
      <c r="A377" s="1">
        <v>44595</v>
      </c>
      <c r="B377">
        <v>192</v>
      </c>
      <c r="C377">
        <f t="shared" si="30"/>
        <v>2022</v>
      </c>
      <c r="D377" t="str">
        <f t="shared" si="31"/>
        <v>February</v>
      </c>
      <c r="E377">
        <f t="shared" si="32"/>
        <v>2</v>
      </c>
      <c r="F377" t="str">
        <f t="shared" si="33"/>
        <v>Feb 2022</v>
      </c>
      <c r="G377" t="str">
        <f t="shared" si="34"/>
        <v>Q1</v>
      </c>
      <c r="H377">
        <f>IF(AirQuality[[#This Row],[pm25  (ug/m3)]]&gt;15,1,0)</f>
        <v>1</v>
      </c>
      <c r="I377" t="str">
        <f t="shared" si="35"/>
        <v>unsafe</v>
      </c>
      <c r="J377">
        <f>IF(AirQuality[[#This Row],[Air Quality Status]]="unsafe",J376+1,0)</f>
        <v>25</v>
      </c>
    </row>
    <row r="378" spans="1:10" x14ac:dyDescent="0.3">
      <c r="A378" s="1">
        <v>44596</v>
      </c>
      <c r="B378">
        <v>173</v>
      </c>
      <c r="C378">
        <f t="shared" si="30"/>
        <v>2022</v>
      </c>
      <c r="D378" t="str">
        <f t="shared" si="31"/>
        <v>February</v>
      </c>
      <c r="E378">
        <f t="shared" si="32"/>
        <v>2</v>
      </c>
      <c r="F378" t="str">
        <f t="shared" si="33"/>
        <v>Feb 2022</v>
      </c>
      <c r="G378" t="str">
        <f t="shared" si="34"/>
        <v>Q1</v>
      </c>
      <c r="H378">
        <f>IF(AirQuality[[#This Row],[pm25  (ug/m3)]]&gt;15,1,0)</f>
        <v>1</v>
      </c>
      <c r="I378" t="str">
        <f t="shared" si="35"/>
        <v>unsafe</v>
      </c>
      <c r="J378">
        <f>IF(AirQuality[[#This Row],[Air Quality Status]]="unsafe",J377+1,0)</f>
        <v>26</v>
      </c>
    </row>
    <row r="379" spans="1:10" x14ac:dyDescent="0.3">
      <c r="A379" s="1">
        <v>44597</v>
      </c>
      <c r="B379">
        <v>169</v>
      </c>
      <c r="C379">
        <f t="shared" si="30"/>
        <v>2022</v>
      </c>
      <c r="D379" t="str">
        <f t="shared" si="31"/>
        <v>February</v>
      </c>
      <c r="E379">
        <f t="shared" si="32"/>
        <v>2</v>
      </c>
      <c r="F379" t="str">
        <f t="shared" si="33"/>
        <v>Feb 2022</v>
      </c>
      <c r="G379" t="str">
        <f t="shared" si="34"/>
        <v>Q1</v>
      </c>
      <c r="H379">
        <f>IF(AirQuality[[#This Row],[pm25  (ug/m3)]]&gt;15,1,0)</f>
        <v>1</v>
      </c>
      <c r="I379" t="str">
        <f t="shared" si="35"/>
        <v>unsafe</v>
      </c>
      <c r="J379">
        <f>IF(AirQuality[[#This Row],[Air Quality Status]]="unsafe",J378+1,0)</f>
        <v>27</v>
      </c>
    </row>
    <row r="380" spans="1:10" x14ac:dyDescent="0.3">
      <c r="A380" s="1">
        <v>44598</v>
      </c>
      <c r="B380">
        <v>169</v>
      </c>
      <c r="C380">
        <f t="shared" si="30"/>
        <v>2022</v>
      </c>
      <c r="D380" t="str">
        <f t="shared" si="31"/>
        <v>February</v>
      </c>
      <c r="E380">
        <f t="shared" si="32"/>
        <v>2</v>
      </c>
      <c r="F380" t="str">
        <f t="shared" si="33"/>
        <v>Feb 2022</v>
      </c>
      <c r="G380" t="str">
        <f t="shared" si="34"/>
        <v>Q1</v>
      </c>
      <c r="H380">
        <f>IF(AirQuality[[#This Row],[pm25  (ug/m3)]]&gt;15,1,0)</f>
        <v>1</v>
      </c>
      <c r="I380" t="str">
        <f t="shared" si="35"/>
        <v>unsafe</v>
      </c>
      <c r="J380">
        <f>IF(AirQuality[[#This Row],[Air Quality Status]]="unsafe",J379+1,0)</f>
        <v>28</v>
      </c>
    </row>
    <row r="381" spans="1:10" x14ac:dyDescent="0.3">
      <c r="A381" s="1">
        <v>44599</v>
      </c>
      <c r="B381">
        <v>165</v>
      </c>
      <c r="C381">
        <f t="shared" si="30"/>
        <v>2022</v>
      </c>
      <c r="D381" t="str">
        <f t="shared" si="31"/>
        <v>February</v>
      </c>
      <c r="E381">
        <f t="shared" si="32"/>
        <v>2</v>
      </c>
      <c r="F381" t="str">
        <f t="shared" si="33"/>
        <v>Feb 2022</v>
      </c>
      <c r="G381" t="str">
        <f t="shared" si="34"/>
        <v>Q1</v>
      </c>
      <c r="H381">
        <f>IF(AirQuality[[#This Row],[pm25  (ug/m3)]]&gt;15,1,0)</f>
        <v>1</v>
      </c>
      <c r="I381" t="str">
        <f t="shared" si="35"/>
        <v>unsafe</v>
      </c>
      <c r="J381">
        <f>IF(AirQuality[[#This Row],[Air Quality Status]]="unsafe",J380+1,0)</f>
        <v>29</v>
      </c>
    </row>
    <row r="382" spans="1:10" x14ac:dyDescent="0.3">
      <c r="A382" s="1">
        <v>44600</v>
      </c>
      <c r="B382">
        <v>161</v>
      </c>
      <c r="C382">
        <f t="shared" si="30"/>
        <v>2022</v>
      </c>
      <c r="D382" t="str">
        <f t="shared" si="31"/>
        <v>February</v>
      </c>
      <c r="E382">
        <f t="shared" si="32"/>
        <v>2</v>
      </c>
      <c r="F382" t="str">
        <f t="shared" si="33"/>
        <v>Feb 2022</v>
      </c>
      <c r="G382" t="str">
        <f t="shared" si="34"/>
        <v>Q1</v>
      </c>
      <c r="H382">
        <f>IF(AirQuality[[#This Row],[pm25  (ug/m3)]]&gt;15,1,0)</f>
        <v>1</v>
      </c>
      <c r="I382" t="str">
        <f t="shared" si="35"/>
        <v>unsafe</v>
      </c>
      <c r="J382">
        <f>IF(AirQuality[[#This Row],[Air Quality Status]]="unsafe",J381+1,0)</f>
        <v>30</v>
      </c>
    </row>
    <row r="383" spans="1:10" x14ac:dyDescent="0.3">
      <c r="A383" s="1">
        <v>44601</v>
      </c>
      <c r="B383">
        <v>157</v>
      </c>
      <c r="C383">
        <f t="shared" si="30"/>
        <v>2022</v>
      </c>
      <c r="D383" t="str">
        <f t="shared" si="31"/>
        <v>February</v>
      </c>
      <c r="E383">
        <f t="shared" si="32"/>
        <v>2</v>
      </c>
      <c r="F383" t="str">
        <f t="shared" si="33"/>
        <v>Feb 2022</v>
      </c>
      <c r="G383" t="str">
        <f t="shared" si="34"/>
        <v>Q1</v>
      </c>
      <c r="H383">
        <f>IF(AirQuality[[#This Row],[pm25  (ug/m3)]]&gt;15,1,0)</f>
        <v>1</v>
      </c>
      <c r="I383" t="str">
        <f t="shared" si="35"/>
        <v>unsafe</v>
      </c>
      <c r="J383">
        <f>IF(AirQuality[[#This Row],[Air Quality Status]]="unsafe",J382+1,0)</f>
        <v>31</v>
      </c>
    </row>
    <row r="384" spans="1:10" x14ac:dyDescent="0.3">
      <c r="A384" s="1">
        <v>44602</v>
      </c>
      <c r="B384">
        <v>161</v>
      </c>
      <c r="C384">
        <f t="shared" si="30"/>
        <v>2022</v>
      </c>
      <c r="D384" t="str">
        <f t="shared" si="31"/>
        <v>February</v>
      </c>
      <c r="E384">
        <f t="shared" si="32"/>
        <v>2</v>
      </c>
      <c r="F384" t="str">
        <f t="shared" si="33"/>
        <v>Feb 2022</v>
      </c>
      <c r="G384" t="str">
        <f t="shared" si="34"/>
        <v>Q1</v>
      </c>
      <c r="H384">
        <f>IF(AirQuality[[#This Row],[pm25  (ug/m3)]]&gt;15,1,0)</f>
        <v>1</v>
      </c>
      <c r="I384" t="str">
        <f t="shared" si="35"/>
        <v>unsafe</v>
      </c>
      <c r="J384">
        <f>IF(AirQuality[[#This Row],[Air Quality Status]]="unsafe",J383+1,0)</f>
        <v>32</v>
      </c>
    </row>
    <row r="385" spans="1:10" x14ac:dyDescent="0.3">
      <c r="A385" s="1">
        <v>44603</v>
      </c>
      <c r="B385">
        <v>158</v>
      </c>
      <c r="C385">
        <f t="shared" si="30"/>
        <v>2022</v>
      </c>
      <c r="D385" t="str">
        <f t="shared" si="31"/>
        <v>February</v>
      </c>
      <c r="E385">
        <f t="shared" si="32"/>
        <v>2</v>
      </c>
      <c r="F385" t="str">
        <f t="shared" si="33"/>
        <v>Feb 2022</v>
      </c>
      <c r="G385" t="str">
        <f t="shared" si="34"/>
        <v>Q1</v>
      </c>
      <c r="H385">
        <f>IF(AirQuality[[#This Row],[pm25  (ug/m3)]]&gt;15,1,0)</f>
        <v>1</v>
      </c>
      <c r="I385" t="str">
        <f t="shared" si="35"/>
        <v>unsafe</v>
      </c>
      <c r="J385">
        <f>IF(AirQuality[[#This Row],[Air Quality Status]]="unsafe",J384+1,0)</f>
        <v>33</v>
      </c>
    </row>
    <row r="386" spans="1:10" x14ac:dyDescent="0.3">
      <c r="A386" s="1">
        <v>44604</v>
      </c>
      <c r="B386">
        <v>147</v>
      </c>
      <c r="C386">
        <f t="shared" ref="C386:C449" si="36">YEAR(A386)</f>
        <v>2022</v>
      </c>
      <c r="D386" t="str">
        <f t="shared" ref="D386:D449" si="37">TEXT(A386,"mmmm")</f>
        <v>February</v>
      </c>
      <c r="E386">
        <f t="shared" ref="E386:E449" si="38">MONTH(A386)</f>
        <v>2</v>
      </c>
      <c r="F386" t="str">
        <f t="shared" ref="F386:F449" si="39">TEXT(A386,"mmm yyyy")</f>
        <v>Feb 2022</v>
      </c>
      <c r="G386" t="str">
        <f t="shared" ref="G386:G449" si="40">"Q"&amp;ROUNDUP(MONTH(A386)/3,0)</f>
        <v>Q1</v>
      </c>
      <c r="H386">
        <f>IF(AirQuality[[#This Row],[pm25  (ug/m3)]]&gt;15,1,0)</f>
        <v>1</v>
      </c>
      <c r="I386" t="str">
        <f t="shared" ref="I386:I449" si="41">IF(B386&gt;15,"unsafe","safe")</f>
        <v>unsafe</v>
      </c>
      <c r="J386">
        <f>IF(AirQuality[[#This Row],[Air Quality Status]]="unsafe",J385+1,0)</f>
        <v>34</v>
      </c>
    </row>
    <row r="387" spans="1:10" x14ac:dyDescent="0.3">
      <c r="A387" s="1">
        <v>44605</v>
      </c>
      <c r="B387">
        <v>143</v>
      </c>
      <c r="C387">
        <f t="shared" si="36"/>
        <v>2022</v>
      </c>
      <c r="D387" t="str">
        <f t="shared" si="37"/>
        <v>February</v>
      </c>
      <c r="E387">
        <f t="shared" si="38"/>
        <v>2</v>
      </c>
      <c r="F387" t="str">
        <f t="shared" si="39"/>
        <v>Feb 2022</v>
      </c>
      <c r="G387" t="str">
        <f t="shared" si="40"/>
        <v>Q1</v>
      </c>
      <c r="H387">
        <f>IF(AirQuality[[#This Row],[pm25  (ug/m3)]]&gt;15,1,0)</f>
        <v>1</v>
      </c>
      <c r="I387" t="str">
        <f t="shared" si="41"/>
        <v>unsafe</v>
      </c>
      <c r="J387">
        <f>IF(AirQuality[[#This Row],[Air Quality Status]]="unsafe",J386+1,0)</f>
        <v>35</v>
      </c>
    </row>
    <row r="388" spans="1:10" x14ac:dyDescent="0.3">
      <c r="A388" s="1">
        <v>44606</v>
      </c>
      <c r="B388">
        <v>146</v>
      </c>
      <c r="C388">
        <f t="shared" si="36"/>
        <v>2022</v>
      </c>
      <c r="D388" t="str">
        <f t="shared" si="37"/>
        <v>February</v>
      </c>
      <c r="E388">
        <f t="shared" si="38"/>
        <v>2</v>
      </c>
      <c r="F388" t="str">
        <f t="shared" si="39"/>
        <v>Feb 2022</v>
      </c>
      <c r="G388" t="str">
        <f t="shared" si="40"/>
        <v>Q1</v>
      </c>
      <c r="H388">
        <f>IF(AirQuality[[#This Row],[pm25  (ug/m3)]]&gt;15,1,0)</f>
        <v>1</v>
      </c>
      <c r="I388" t="str">
        <f t="shared" si="41"/>
        <v>unsafe</v>
      </c>
      <c r="J388">
        <f>IF(AirQuality[[#This Row],[Air Quality Status]]="unsafe",J387+1,0)</f>
        <v>36</v>
      </c>
    </row>
    <row r="389" spans="1:10" x14ac:dyDescent="0.3">
      <c r="A389" s="1">
        <v>44607</v>
      </c>
      <c r="B389">
        <v>139</v>
      </c>
      <c r="C389">
        <f t="shared" si="36"/>
        <v>2022</v>
      </c>
      <c r="D389" t="str">
        <f t="shared" si="37"/>
        <v>February</v>
      </c>
      <c r="E389">
        <f t="shared" si="38"/>
        <v>2</v>
      </c>
      <c r="F389" t="str">
        <f t="shared" si="39"/>
        <v>Feb 2022</v>
      </c>
      <c r="G389" t="str">
        <f t="shared" si="40"/>
        <v>Q1</v>
      </c>
      <c r="H389">
        <f>IF(AirQuality[[#This Row],[pm25  (ug/m3)]]&gt;15,1,0)</f>
        <v>1</v>
      </c>
      <c r="I389" t="str">
        <f t="shared" si="41"/>
        <v>unsafe</v>
      </c>
      <c r="J389">
        <f>IF(AirQuality[[#This Row],[Air Quality Status]]="unsafe",J388+1,0)</f>
        <v>37</v>
      </c>
    </row>
    <row r="390" spans="1:10" x14ac:dyDescent="0.3">
      <c r="A390" s="1">
        <v>44608</v>
      </c>
      <c r="B390">
        <v>135</v>
      </c>
      <c r="C390">
        <f t="shared" si="36"/>
        <v>2022</v>
      </c>
      <c r="D390" t="str">
        <f t="shared" si="37"/>
        <v>February</v>
      </c>
      <c r="E390">
        <f t="shared" si="38"/>
        <v>2</v>
      </c>
      <c r="F390" t="str">
        <f t="shared" si="39"/>
        <v>Feb 2022</v>
      </c>
      <c r="G390" t="str">
        <f t="shared" si="40"/>
        <v>Q1</v>
      </c>
      <c r="H390">
        <f>IF(AirQuality[[#This Row],[pm25  (ug/m3)]]&gt;15,1,0)</f>
        <v>1</v>
      </c>
      <c r="I390" t="str">
        <f t="shared" si="41"/>
        <v>unsafe</v>
      </c>
      <c r="J390">
        <f>IF(AirQuality[[#This Row],[Air Quality Status]]="unsafe",J389+1,0)</f>
        <v>38</v>
      </c>
    </row>
    <row r="391" spans="1:10" x14ac:dyDescent="0.3">
      <c r="A391" s="1">
        <v>44609</v>
      </c>
      <c r="B391">
        <v>124</v>
      </c>
      <c r="C391">
        <f t="shared" si="36"/>
        <v>2022</v>
      </c>
      <c r="D391" t="str">
        <f t="shared" si="37"/>
        <v>February</v>
      </c>
      <c r="E391">
        <f t="shared" si="38"/>
        <v>2</v>
      </c>
      <c r="F391" t="str">
        <f t="shared" si="39"/>
        <v>Feb 2022</v>
      </c>
      <c r="G391" t="str">
        <f t="shared" si="40"/>
        <v>Q1</v>
      </c>
      <c r="H391">
        <f>IF(AirQuality[[#This Row],[pm25  (ug/m3)]]&gt;15,1,0)</f>
        <v>1</v>
      </c>
      <c r="I391" t="str">
        <f t="shared" si="41"/>
        <v>unsafe</v>
      </c>
      <c r="J391">
        <f>IF(AirQuality[[#This Row],[Air Quality Status]]="unsafe",J390+1,0)</f>
        <v>39</v>
      </c>
    </row>
    <row r="392" spans="1:10" x14ac:dyDescent="0.3">
      <c r="A392" s="1">
        <v>44610</v>
      </c>
      <c r="B392">
        <v>129</v>
      </c>
      <c r="C392">
        <f t="shared" si="36"/>
        <v>2022</v>
      </c>
      <c r="D392" t="str">
        <f t="shared" si="37"/>
        <v>February</v>
      </c>
      <c r="E392">
        <f t="shared" si="38"/>
        <v>2</v>
      </c>
      <c r="F392" t="str">
        <f t="shared" si="39"/>
        <v>Feb 2022</v>
      </c>
      <c r="G392" t="str">
        <f t="shared" si="40"/>
        <v>Q1</v>
      </c>
      <c r="H392">
        <f>IF(AirQuality[[#This Row],[pm25  (ug/m3)]]&gt;15,1,0)</f>
        <v>1</v>
      </c>
      <c r="I392" t="str">
        <f t="shared" si="41"/>
        <v>unsafe</v>
      </c>
      <c r="J392">
        <f>IF(AirQuality[[#This Row],[Air Quality Status]]="unsafe",J391+1,0)</f>
        <v>40</v>
      </c>
    </row>
    <row r="393" spans="1:10" x14ac:dyDescent="0.3">
      <c r="A393" s="1">
        <v>44611</v>
      </c>
      <c r="B393">
        <v>121</v>
      </c>
      <c r="C393">
        <f t="shared" si="36"/>
        <v>2022</v>
      </c>
      <c r="D393" t="str">
        <f t="shared" si="37"/>
        <v>February</v>
      </c>
      <c r="E393">
        <f t="shared" si="38"/>
        <v>2</v>
      </c>
      <c r="F393" t="str">
        <f t="shared" si="39"/>
        <v>Feb 2022</v>
      </c>
      <c r="G393" t="str">
        <f t="shared" si="40"/>
        <v>Q1</v>
      </c>
      <c r="H393">
        <f>IF(AirQuality[[#This Row],[pm25  (ug/m3)]]&gt;15,1,0)</f>
        <v>1</v>
      </c>
      <c r="I393" t="str">
        <f t="shared" si="41"/>
        <v>unsafe</v>
      </c>
      <c r="J393">
        <f>IF(AirQuality[[#This Row],[Air Quality Status]]="unsafe",J392+1,0)</f>
        <v>41</v>
      </c>
    </row>
    <row r="394" spans="1:10" x14ac:dyDescent="0.3">
      <c r="A394" s="1">
        <v>44612</v>
      </c>
      <c r="B394">
        <v>127</v>
      </c>
      <c r="C394">
        <f t="shared" si="36"/>
        <v>2022</v>
      </c>
      <c r="D394" t="str">
        <f t="shared" si="37"/>
        <v>February</v>
      </c>
      <c r="E394">
        <f t="shared" si="38"/>
        <v>2</v>
      </c>
      <c r="F394" t="str">
        <f t="shared" si="39"/>
        <v>Feb 2022</v>
      </c>
      <c r="G394" t="str">
        <f t="shared" si="40"/>
        <v>Q1</v>
      </c>
      <c r="H394">
        <f>IF(AirQuality[[#This Row],[pm25  (ug/m3)]]&gt;15,1,0)</f>
        <v>1</v>
      </c>
      <c r="I394" t="str">
        <f t="shared" si="41"/>
        <v>unsafe</v>
      </c>
      <c r="J394">
        <f>IF(AirQuality[[#This Row],[Air Quality Status]]="unsafe",J393+1,0)</f>
        <v>42</v>
      </c>
    </row>
    <row r="395" spans="1:10" x14ac:dyDescent="0.3">
      <c r="A395" s="1">
        <v>44613</v>
      </c>
      <c r="B395">
        <v>113</v>
      </c>
      <c r="C395">
        <f t="shared" si="36"/>
        <v>2022</v>
      </c>
      <c r="D395" t="str">
        <f t="shared" si="37"/>
        <v>February</v>
      </c>
      <c r="E395">
        <f t="shared" si="38"/>
        <v>2</v>
      </c>
      <c r="F395" t="str">
        <f t="shared" si="39"/>
        <v>Feb 2022</v>
      </c>
      <c r="G395" t="str">
        <f t="shared" si="40"/>
        <v>Q1</v>
      </c>
      <c r="H395">
        <f>IF(AirQuality[[#This Row],[pm25  (ug/m3)]]&gt;15,1,0)</f>
        <v>1</v>
      </c>
      <c r="I395" t="str">
        <f t="shared" si="41"/>
        <v>unsafe</v>
      </c>
      <c r="J395">
        <f>IF(AirQuality[[#This Row],[Air Quality Status]]="unsafe",J394+1,0)</f>
        <v>43</v>
      </c>
    </row>
    <row r="396" spans="1:10" x14ac:dyDescent="0.3">
      <c r="A396" s="1">
        <v>44614</v>
      </c>
      <c r="B396">
        <v>122</v>
      </c>
      <c r="C396">
        <f t="shared" si="36"/>
        <v>2022</v>
      </c>
      <c r="D396" t="str">
        <f t="shared" si="37"/>
        <v>February</v>
      </c>
      <c r="E396">
        <f t="shared" si="38"/>
        <v>2</v>
      </c>
      <c r="F396" t="str">
        <f t="shared" si="39"/>
        <v>Feb 2022</v>
      </c>
      <c r="G396" t="str">
        <f t="shared" si="40"/>
        <v>Q1</v>
      </c>
      <c r="H396">
        <f>IF(AirQuality[[#This Row],[pm25  (ug/m3)]]&gt;15,1,0)</f>
        <v>1</v>
      </c>
      <c r="I396" t="str">
        <f t="shared" si="41"/>
        <v>unsafe</v>
      </c>
      <c r="J396">
        <f>IF(AirQuality[[#This Row],[Air Quality Status]]="unsafe",J395+1,0)</f>
        <v>44</v>
      </c>
    </row>
    <row r="397" spans="1:10" x14ac:dyDescent="0.3">
      <c r="A397" s="1">
        <v>44615</v>
      </c>
      <c r="B397">
        <v>109</v>
      </c>
      <c r="C397">
        <f t="shared" si="36"/>
        <v>2022</v>
      </c>
      <c r="D397" t="str">
        <f t="shared" si="37"/>
        <v>February</v>
      </c>
      <c r="E397">
        <f t="shared" si="38"/>
        <v>2</v>
      </c>
      <c r="F397" t="str">
        <f t="shared" si="39"/>
        <v>Feb 2022</v>
      </c>
      <c r="G397" t="str">
        <f t="shared" si="40"/>
        <v>Q1</v>
      </c>
      <c r="H397">
        <f>IF(AirQuality[[#This Row],[pm25  (ug/m3)]]&gt;15,1,0)</f>
        <v>1</v>
      </c>
      <c r="I397" t="str">
        <f t="shared" si="41"/>
        <v>unsafe</v>
      </c>
      <c r="J397">
        <f>IF(AirQuality[[#This Row],[Air Quality Status]]="unsafe",J396+1,0)</f>
        <v>45</v>
      </c>
    </row>
    <row r="398" spans="1:10" x14ac:dyDescent="0.3">
      <c r="A398" s="1">
        <v>44616</v>
      </c>
      <c r="B398">
        <v>104</v>
      </c>
      <c r="C398">
        <f t="shared" si="36"/>
        <v>2022</v>
      </c>
      <c r="D398" t="str">
        <f t="shared" si="37"/>
        <v>February</v>
      </c>
      <c r="E398">
        <f t="shared" si="38"/>
        <v>2</v>
      </c>
      <c r="F398" t="str">
        <f t="shared" si="39"/>
        <v>Feb 2022</v>
      </c>
      <c r="G398" t="str">
        <f t="shared" si="40"/>
        <v>Q1</v>
      </c>
      <c r="H398">
        <f>IF(AirQuality[[#This Row],[pm25  (ug/m3)]]&gt;15,1,0)</f>
        <v>1</v>
      </c>
      <c r="I398" t="str">
        <f t="shared" si="41"/>
        <v>unsafe</v>
      </c>
      <c r="J398">
        <f>IF(AirQuality[[#This Row],[Air Quality Status]]="unsafe",J397+1,0)</f>
        <v>46</v>
      </c>
    </row>
    <row r="399" spans="1:10" x14ac:dyDescent="0.3">
      <c r="A399" s="1">
        <v>44617</v>
      </c>
      <c r="B399">
        <v>103</v>
      </c>
      <c r="C399">
        <f t="shared" si="36"/>
        <v>2022</v>
      </c>
      <c r="D399" t="str">
        <f t="shared" si="37"/>
        <v>February</v>
      </c>
      <c r="E399">
        <f t="shared" si="38"/>
        <v>2</v>
      </c>
      <c r="F399" t="str">
        <f t="shared" si="39"/>
        <v>Feb 2022</v>
      </c>
      <c r="G399" t="str">
        <f t="shared" si="40"/>
        <v>Q1</v>
      </c>
      <c r="H399">
        <f>IF(AirQuality[[#This Row],[pm25  (ug/m3)]]&gt;15,1,0)</f>
        <v>1</v>
      </c>
      <c r="I399" t="str">
        <f t="shared" si="41"/>
        <v>unsafe</v>
      </c>
      <c r="J399">
        <f>IF(AirQuality[[#This Row],[Air Quality Status]]="unsafe",J398+1,0)</f>
        <v>47</v>
      </c>
    </row>
    <row r="400" spans="1:10" x14ac:dyDescent="0.3">
      <c r="A400" s="1">
        <v>44618</v>
      </c>
      <c r="B400">
        <v>98</v>
      </c>
      <c r="C400">
        <f t="shared" si="36"/>
        <v>2022</v>
      </c>
      <c r="D400" t="str">
        <f t="shared" si="37"/>
        <v>February</v>
      </c>
      <c r="E400">
        <f t="shared" si="38"/>
        <v>2</v>
      </c>
      <c r="F400" t="str">
        <f t="shared" si="39"/>
        <v>Feb 2022</v>
      </c>
      <c r="G400" t="str">
        <f t="shared" si="40"/>
        <v>Q1</v>
      </c>
      <c r="H400">
        <f>IF(AirQuality[[#This Row],[pm25  (ug/m3)]]&gt;15,1,0)</f>
        <v>1</v>
      </c>
      <c r="I400" t="str">
        <f t="shared" si="41"/>
        <v>unsafe</v>
      </c>
      <c r="J400">
        <f>IF(AirQuality[[#This Row],[Air Quality Status]]="unsafe",J399+1,0)</f>
        <v>48</v>
      </c>
    </row>
    <row r="401" spans="1:10" x14ac:dyDescent="0.3">
      <c r="A401" s="1">
        <v>44619</v>
      </c>
      <c r="B401">
        <v>88</v>
      </c>
      <c r="C401">
        <f t="shared" si="36"/>
        <v>2022</v>
      </c>
      <c r="D401" t="str">
        <f t="shared" si="37"/>
        <v>February</v>
      </c>
      <c r="E401">
        <f t="shared" si="38"/>
        <v>2</v>
      </c>
      <c r="F401" t="str">
        <f t="shared" si="39"/>
        <v>Feb 2022</v>
      </c>
      <c r="G401" t="str">
        <f t="shared" si="40"/>
        <v>Q1</v>
      </c>
      <c r="H401">
        <f>IF(AirQuality[[#This Row],[pm25  (ug/m3)]]&gt;15,1,0)</f>
        <v>1</v>
      </c>
      <c r="I401" t="str">
        <f t="shared" si="41"/>
        <v>unsafe</v>
      </c>
      <c r="J401">
        <f>IF(AirQuality[[#This Row],[Air Quality Status]]="unsafe",J400+1,0)</f>
        <v>49</v>
      </c>
    </row>
    <row r="402" spans="1:10" x14ac:dyDescent="0.3">
      <c r="A402" s="1">
        <v>44620</v>
      </c>
      <c r="B402">
        <v>88</v>
      </c>
      <c r="C402">
        <f t="shared" si="36"/>
        <v>2022</v>
      </c>
      <c r="D402" t="str">
        <f t="shared" si="37"/>
        <v>February</v>
      </c>
      <c r="E402">
        <f t="shared" si="38"/>
        <v>2</v>
      </c>
      <c r="F402" t="str">
        <f t="shared" si="39"/>
        <v>Feb 2022</v>
      </c>
      <c r="G402" t="str">
        <f t="shared" si="40"/>
        <v>Q1</v>
      </c>
      <c r="H402">
        <f>IF(AirQuality[[#This Row],[pm25  (ug/m3)]]&gt;15,1,0)</f>
        <v>1</v>
      </c>
      <c r="I402" t="str">
        <f t="shared" si="41"/>
        <v>unsafe</v>
      </c>
      <c r="J402">
        <f>IF(AirQuality[[#This Row],[Air Quality Status]]="unsafe",J401+1,0)</f>
        <v>50</v>
      </c>
    </row>
    <row r="403" spans="1:10" x14ac:dyDescent="0.3">
      <c r="A403" s="1">
        <v>44621</v>
      </c>
      <c r="B403">
        <v>72</v>
      </c>
      <c r="C403">
        <f t="shared" si="36"/>
        <v>2022</v>
      </c>
      <c r="D403" t="str">
        <f t="shared" si="37"/>
        <v>March</v>
      </c>
      <c r="E403">
        <f t="shared" si="38"/>
        <v>3</v>
      </c>
      <c r="F403" t="str">
        <f t="shared" si="39"/>
        <v>Mar 2022</v>
      </c>
      <c r="G403" t="str">
        <f t="shared" si="40"/>
        <v>Q1</v>
      </c>
      <c r="H403">
        <f>IF(AirQuality[[#This Row],[pm25  (ug/m3)]]&gt;15,1,0)</f>
        <v>1</v>
      </c>
      <c r="I403" t="str">
        <f t="shared" si="41"/>
        <v>unsafe</v>
      </c>
      <c r="J403">
        <f>IF(AirQuality[[#This Row],[Air Quality Status]]="unsafe",J402+1,0)</f>
        <v>51</v>
      </c>
    </row>
    <row r="404" spans="1:10" x14ac:dyDescent="0.3">
      <c r="A404" s="1">
        <v>44622</v>
      </c>
      <c r="B404">
        <v>77</v>
      </c>
      <c r="C404">
        <f t="shared" si="36"/>
        <v>2022</v>
      </c>
      <c r="D404" t="str">
        <f t="shared" si="37"/>
        <v>March</v>
      </c>
      <c r="E404">
        <f t="shared" si="38"/>
        <v>3</v>
      </c>
      <c r="F404" t="str">
        <f t="shared" si="39"/>
        <v>Mar 2022</v>
      </c>
      <c r="G404" t="str">
        <f t="shared" si="40"/>
        <v>Q1</v>
      </c>
      <c r="H404">
        <f>IF(AirQuality[[#This Row],[pm25  (ug/m3)]]&gt;15,1,0)</f>
        <v>1</v>
      </c>
      <c r="I404" t="str">
        <f t="shared" si="41"/>
        <v>unsafe</v>
      </c>
      <c r="J404">
        <f>IF(AirQuality[[#This Row],[Air Quality Status]]="unsafe",J403+1,0)</f>
        <v>52</v>
      </c>
    </row>
    <row r="405" spans="1:10" x14ac:dyDescent="0.3">
      <c r="A405" s="1">
        <v>44623</v>
      </c>
      <c r="B405">
        <v>63</v>
      </c>
      <c r="C405">
        <f t="shared" si="36"/>
        <v>2022</v>
      </c>
      <c r="D405" t="str">
        <f t="shared" si="37"/>
        <v>March</v>
      </c>
      <c r="E405">
        <f t="shared" si="38"/>
        <v>3</v>
      </c>
      <c r="F405" t="str">
        <f t="shared" si="39"/>
        <v>Mar 2022</v>
      </c>
      <c r="G405" t="str">
        <f t="shared" si="40"/>
        <v>Q1</v>
      </c>
      <c r="H405">
        <f>IF(AirQuality[[#This Row],[pm25  (ug/m3)]]&gt;15,1,0)</f>
        <v>1</v>
      </c>
      <c r="I405" t="str">
        <f t="shared" si="41"/>
        <v>unsafe</v>
      </c>
      <c r="J405">
        <f>IF(AirQuality[[#This Row],[Air Quality Status]]="unsafe",J404+1,0)</f>
        <v>53</v>
      </c>
    </row>
    <row r="406" spans="1:10" x14ac:dyDescent="0.3">
      <c r="A406" s="1">
        <v>44624</v>
      </c>
      <c r="B406">
        <v>79</v>
      </c>
      <c r="C406">
        <f t="shared" si="36"/>
        <v>2022</v>
      </c>
      <c r="D406" t="str">
        <f t="shared" si="37"/>
        <v>March</v>
      </c>
      <c r="E406">
        <f t="shared" si="38"/>
        <v>3</v>
      </c>
      <c r="F406" t="str">
        <f t="shared" si="39"/>
        <v>Mar 2022</v>
      </c>
      <c r="G406" t="str">
        <f t="shared" si="40"/>
        <v>Q1</v>
      </c>
      <c r="H406">
        <f>IF(AirQuality[[#This Row],[pm25  (ug/m3)]]&gt;15,1,0)</f>
        <v>1</v>
      </c>
      <c r="I406" t="str">
        <f t="shared" si="41"/>
        <v>unsafe</v>
      </c>
      <c r="J406">
        <f>IF(AirQuality[[#This Row],[Air Quality Status]]="unsafe",J405+1,0)</f>
        <v>54</v>
      </c>
    </row>
    <row r="407" spans="1:10" x14ac:dyDescent="0.3">
      <c r="A407" s="1">
        <v>44625</v>
      </c>
      <c r="B407">
        <v>66</v>
      </c>
      <c r="C407">
        <f t="shared" si="36"/>
        <v>2022</v>
      </c>
      <c r="D407" t="str">
        <f t="shared" si="37"/>
        <v>March</v>
      </c>
      <c r="E407">
        <f t="shared" si="38"/>
        <v>3</v>
      </c>
      <c r="F407" t="str">
        <f t="shared" si="39"/>
        <v>Mar 2022</v>
      </c>
      <c r="G407" t="str">
        <f t="shared" si="40"/>
        <v>Q1</v>
      </c>
      <c r="H407">
        <f>IF(AirQuality[[#This Row],[pm25  (ug/m3)]]&gt;15,1,0)</f>
        <v>1</v>
      </c>
      <c r="I407" t="str">
        <f t="shared" si="41"/>
        <v>unsafe</v>
      </c>
      <c r="J407">
        <f>IF(AirQuality[[#This Row],[Air Quality Status]]="unsafe",J406+1,0)</f>
        <v>55</v>
      </c>
    </row>
    <row r="408" spans="1:10" x14ac:dyDescent="0.3">
      <c r="A408" s="1">
        <v>44626</v>
      </c>
      <c r="B408">
        <v>73</v>
      </c>
      <c r="C408">
        <f t="shared" si="36"/>
        <v>2022</v>
      </c>
      <c r="D408" t="str">
        <f t="shared" si="37"/>
        <v>March</v>
      </c>
      <c r="E408">
        <f t="shared" si="38"/>
        <v>3</v>
      </c>
      <c r="F408" t="str">
        <f t="shared" si="39"/>
        <v>Mar 2022</v>
      </c>
      <c r="G408" t="str">
        <f t="shared" si="40"/>
        <v>Q1</v>
      </c>
      <c r="H408">
        <f>IF(AirQuality[[#This Row],[pm25  (ug/m3)]]&gt;15,1,0)</f>
        <v>1</v>
      </c>
      <c r="I408" t="str">
        <f t="shared" si="41"/>
        <v>unsafe</v>
      </c>
      <c r="J408">
        <f>IF(AirQuality[[#This Row],[Air Quality Status]]="unsafe",J407+1,0)</f>
        <v>56</v>
      </c>
    </row>
    <row r="409" spans="1:10" x14ac:dyDescent="0.3">
      <c r="A409" s="1">
        <v>44627</v>
      </c>
      <c r="B409">
        <v>136</v>
      </c>
      <c r="C409">
        <f t="shared" si="36"/>
        <v>2022</v>
      </c>
      <c r="D409" t="str">
        <f t="shared" si="37"/>
        <v>March</v>
      </c>
      <c r="E409">
        <f t="shared" si="38"/>
        <v>3</v>
      </c>
      <c r="F409" t="str">
        <f t="shared" si="39"/>
        <v>Mar 2022</v>
      </c>
      <c r="G409" t="str">
        <f t="shared" si="40"/>
        <v>Q1</v>
      </c>
      <c r="H409">
        <f>IF(AirQuality[[#This Row],[pm25  (ug/m3)]]&gt;15,1,0)</f>
        <v>1</v>
      </c>
      <c r="I409" t="str">
        <f t="shared" si="41"/>
        <v>unsafe</v>
      </c>
      <c r="J409">
        <f>IF(AirQuality[[#This Row],[Air Quality Status]]="unsafe",J408+1,0)</f>
        <v>57</v>
      </c>
    </row>
    <row r="410" spans="1:10" x14ac:dyDescent="0.3">
      <c r="A410" s="1">
        <v>44628</v>
      </c>
      <c r="B410">
        <v>131</v>
      </c>
      <c r="C410">
        <f t="shared" si="36"/>
        <v>2022</v>
      </c>
      <c r="D410" t="str">
        <f t="shared" si="37"/>
        <v>March</v>
      </c>
      <c r="E410">
        <f t="shared" si="38"/>
        <v>3</v>
      </c>
      <c r="F410" t="str">
        <f t="shared" si="39"/>
        <v>Mar 2022</v>
      </c>
      <c r="G410" t="str">
        <f t="shared" si="40"/>
        <v>Q1</v>
      </c>
      <c r="H410">
        <f>IF(AirQuality[[#This Row],[pm25  (ug/m3)]]&gt;15,1,0)</f>
        <v>1</v>
      </c>
      <c r="I410" t="str">
        <f t="shared" si="41"/>
        <v>unsafe</v>
      </c>
      <c r="J410">
        <f>IF(AirQuality[[#This Row],[Air Quality Status]]="unsafe",J409+1,0)</f>
        <v>58</v>
      </c>
    </row>
    <row r="411" spans="1:10" x14ac:dyDescent="0.3">
      <c r="A411" s="1">
        <v>44629</v>
      </c>
      <c r="B411">
        <v>128</v>
      </c>
      <c r="C411">
        <f t="shared" si="36"/>
        <v>2022</v>
      </c>
      <c r="D411" t="str">
        <f t="shared" si="37"/>
        <v>March</v>
      </c>
      <c r="E411">
        <f t="shared" si="38"/>
        <v>3</v>
      </c>
      <c r="F411" t="str">
        <f t="shared" si="39"/>
        <v>Mar 2022</v>
      </c>
      <c r="G411" t="str">
        <f t="shared" si="40"/>
        <v>Q1</v>
      </c>
      <c r="H411">
        <f>IF(AirQuality[[#This Row],[pm25  (ug/m3)]]&gt;15,1,0)</f>
        <v>1</v>
      </c>
      <c r="I411" t="str">
        <f t="shared" si="41"/>
        <v>unsafe</v>
      </c>
      <c r="J411">
        <f>IF(AirQuality[[#This Row],[Air Quality Status]]="unsafe",J410+1,0)</f>
        <v>59</v>
      </c>
    </row>
    <row r="412" spans="1:10" x14ac:dyDescent="0.3">
      <c r="A412" s="1">
        <v>44630</v>
      </c>
      <c r="B412">
        <v>132</v>
      </c>
      <c r="C412">
        <f t="shared" si="36"/>
        <v>2022</v>
      </c>
      <c r="D412" t="str">
        <f t="shared" si="37"/>
        <v>March</v>
      </c>
      <c r="E412">
        <f t="shared" si="38"/>
        <v>3</v>
      </c>
      <c r="F412" t="str">
        <f t="shared" si="39"/>
        <v>Mar 2022</v>
      </c>
      <c r="G412" t="str">
        <f t="shared" si="40"/>
        <v>Q1</v>
      </c>
      <c r="H412">
        <f>IF(AirQuality[[#This Row],[pm25  (ug/m3)]]&gt;15,1,0)</f>
        <v>1</v>
      </c>
      <c r="I412" t="str">
        <f t="shared" si="41"/>
        <v>unsafe</v>
      </c>
      <c r="J412">
        <f>IF(AirQuality[[#This Row],[Air Quality Status]]="unsafe",J411+1,0)</f>
        <v>60</v>
      </c>
    </row>
    <row r="413" spans="1:10" x14ac:dyDescent="0.3">
      <c r="A413" s="1">
        <v>44631</v>
      </c>
      <c r="B413">
        <v>131</v>
      </c>
      <c r="C413">
        <f t="shared" si="36"/>
        <v>2022</v>
      </c>
      <c r="D413" t="str">
        <f t="shared" si="37"/>
        <v>March</v>
      </c>
      <c r="E413">
        <f t="shared" si="38"/>
        <v>3</v>
      </c>
      <c r="F413" t="str">
        <f t="shared" si="39"/>
        <v>Mar 2022</v>
      </c>
      <c r="G413" t="str">
        <f t="shared" si="40"/>
        <v>Q1</v>
      </c>
      <c r="H413">
        <f>IF(AirQuality[[#This Row],[pm25  (ug/m3)]]&gt;15,1,0)</f>
        <v>1</v>
      </c>
      <c r="I413" t="str">
        <f t="shared" si="41"/>
        <v>unsafe</v>
      </c>
      <c r="J413">
        <f>IF(AirQuality[[#This Row],[Air Quality Status]]="unsafe",J412+1,0)</f>
        <v>61</v>
      </c>
    </row>
    <row r="414" spans="1:10" x14ac:dyDescent="0.3">
      <c r="A414" s="1">
        <v>44632</v>
      </c>
      <c r="B414">
        <v>126</v>
      </c>
      <c r="C414">
        <f t="shared" si="36"/>
        <v>2022</v>
      </c>
      <c r="D414" t="str">
        <f t="shared" si="37"/>
        <v>March</v>
      </c>
      <c r="E414">
        <f t="shared" si="38"/>
        <v>3</v>
      </c>
      <c r="F414" t="str">
        <f t="shared" si="39"/>
        <v>Mar 2022</v>
      </c>
      <c r="G414" t="str">
        <f t="shared" si="40"/>
        <v>Q1</v>
      </c>
      <c r="H414">
        <f>IF(AirQuality[[#This Row],[pm25  (ug/m3)]]&gt;15,1,0)</f>
        <v>1</v>
      </c>
      <c r="I414" t="str">
        <f t="shared" si="41"/>
        <v>unsafe</v>
      </c>
      <c r="J414">
        <f>IF(AirQuality[[#This Row],[Air Quality Status]]="unsafe",J413+1,0)</f>
        <v>62</v>
      </c>
    </row>
    <row r="415" spans="1:10" x14ac:dyDescent="0.3">
      <c r="A415" s="1">
        <v>44633</v>
      </c>
      <c r="B415">
        <v>123</v>
      </c>
      <c r="C415">
        <f t="shared" si="36"/>
        <v>2022</v>
      </c>
      <c r="D415" t="str">
        <f t="shared" si="37"/>
        <v>March</v>
      </c>
      <c r="E415">
        <f t="shared" si="38"/>
        <v>3</v>
      </c>
      <c r="F415" t="str">
        <f t="shared" si="39"/>
        <v>Mar 2022</v>
      </c>
      <c r="G415" t="str">
        <f t="shared" si="40"/>
        <v>Q1</v>
      </c>
      <c r="H415">
        <f>IF(AirQuality[[#This Row],[pm25  (ug/m3)]]&gt;15,1,0)</f>
        <v>1</v>
      </c>
      <c r="I415" t="str">
        <f t="shared" si="41"/>
        <v>unsafe</v>
      </c>
      <c r="J415">
        <f>IF(AirQuality[[#This Row],[Air Quality Status]]="unsafe",J414+1,0)</f>
        <v>63</v>
      </c>
    </row>
    <row r="416" spans="1:10" x14ac:dyDescent="0.3">
      <c r="A416" s="1">
        <v>44634</v>
      </c>
      <c r="B416">
        <v>118</v>
      </c>
      <c r="C416">
        <f t="shared" si="36"/>
        <v>2022</v>
      </c>
      <c r="D416" t="str">
        <f t="shared" si="37"/>
        <v>March</v>
      </c>
      <c r="E416">
        <f t="shared" si="38"/>
        <v>3</v>
      </c>
      <c r="F416" t="str">
        <f t="shared" si="39"/>
        <v>Mar 2022</v>
      </c>
      <c r="G416" t="str">
        <f t="shared" si="40"/>
        <v>Q1</v>
      </c>
      <c r="H416">
        <f>IF(AirQuality[[#This Row],[pm25  (ug/m3)]]&gt;15,1,0)</f>
        <v>1</v>
      </c>
      <c r="I416" t="str">
        <f t="shared" si="41"/>
        <v>unsafe</v>
      </c>
      <c r="J416">
        <f>IF(AirQuality[[#This Row],[Air Quality Status]]="unsafe",J415+1,0)</f>
        <v>64</v>
      </c>
    </row>
    <row r="417" spans="1:10" x14ac:dyDescent="0.3">
      <c r="A417" s="1">
        <v>44635</v>
      </c>
      <c r="B417">
        <v>124</v>
      </c>
      <c r="C417">
        <f t="shared" si="36"/>
        <v>2022</v>
      </c>
      <c r="D417" t="str">
        <f t="shared" si="37"/>
        <v>March</v>
      </c>
      <c r="E417">
        <f t="shared" si="38"/>
        <v>3</v>
      </c>
      <c r="F417" t="str">
        <f t="shared" si="39"/>
        <v>Mar 2022</v>
      </c>
      <c r="G417" t="str">
        <f t="shared" si="40"/>
        <v>Q1</v>
      </c>
      <c r="H417">
        <f>IF(AirQuality[[#This Row],[pm25  (ug/m3)]]&gt;15,1,0)</f>
        <v>1</v>
      </c>
      <c r="I417" t="str">
        <f t="shared" si="41"/>
        <v>unsafe</v>
      </c>
      <c r="J417">
        <f>IF(AirQuality[[#This Row],[Air Quality Status]]="unsafe",J416+1,0)</f>
        <v>65</v>
      </c>
    </row>
    <row r="418" spans="1:10" x14ac:dyDescent="0.3">
      <c r="A418" s="1">
        <v>44636</v>
      </c>
      <c r="B418">
        <v>129</v>
      </c>
      <c r="C418">
        <f t="shared" si="36"/>
        <v>2022</v>
      </c>
      <c r="D418" t="str">
        <f t="shared" si="37"/>
        <v>March</v>
      </c>
      <c r="E418">
        <f t="shared" si="38"/>
        <v>3</v>
      </c>
      <c r="F418" t="str">
        <f t="shared" si="39"/>
        <v>Mar 2022</v>
      </c>
      <c r="G418" t="str">
        <f t="shared" si="40"/>
        <v>Q1</v>
      </c>
      <c r="H418">
        <f>IF(AirQuality[[#This Row],[pm25  (ug/m3)]]&gt;15,1,0)</f>
        <v>1</v>
      </c>
      <c r="I418" t="str">
        <f t="shared" si="41"/>
        <v>unsafe</v>
      </c>
      <c r="J418">
        <f>IF(AirQuality[[#This Row],[Air Quality Status]]="unsafe",J417+1,0)</f>
        <v>66</v>
      </c>
    </row>
    <row r="419" spans="1:10" x14ac:dyDescent="0.3">
      <c r="A419" s="1">
        <v>44637</v>
      </c>
      <c r="B419">
        <v>117</v>
      </c>
      <c r="C419">
        <f t="shared" si="36"/>
        <v>2022</v>
      </c>
      <c r="D419" t="str">
        <f t="shared" si="37"/>
        <v>March</v>
      </c>
      <c r="E419">
        <f t="shared" si="38"/>
        <v>3</v>
      </c>
      <c r="F419" t="str">
        <f t="shared" si="39"/>
        <v>Mar 2022</v>
      </c>
      <c r="G419" t="str">
        <f t="shared" si="40"/>
        <v>Q1</v>
      </c>
      <c r="H419">
        <f>IF(AirQuality[[#This Row],[pm25  (ug/m3)]]&gt;15,1,0)</f>
        <v>1</v>
      </c>
      <c r="I419" t="str">
        <f t="shared" si="41"/>
        <v>unsafe</v>
      </c>
      <c r="J419">
        <f>IF(AirQuality[[#This Row],[Air Quality Status]]="unsafe",J418+1,0)</f>
        <v>67</v>
      </c>
    </row>
    <row r="420" spans="1:10" x14ac:dyDescent="0.3">
      <c r="A420" s="1">
        <v>44638</v>
      </c>
      <c r="B420">
        <v>110</v>
      </c>
      <c r="C420">
        <f t="shared" si="36"/>
        <v>2022</v>
      </c>
      <c r="D420" t="str">
        <f t="shared" si="37"/>
        <v>March</v>
      </c>
      <c r="E420">
        <f t="shared" si="38"/>
        <v>3</v>
      </c>
      <c r="F420" t="str">
        <f t="shared" si="39"/>
        <v>Mar 2022</v>
      </c>
      <c r="G420" t="str">
        <f t="shared" si="40"/>
        <v>Q1</v>
      </c>
      <c r="H420">
        <f>IF(AirQuality[[#This Row],[pm25  (ug/m3)]]&gt;15,1,0)</f>
        <v>1</v>
      </c>
      <c r="I420" t="str">
        <f t="shared" si="41"/>
        <v>unsafe</v>
      </c>
      <c r="J420">
        <f>IF(AirQuality[[#This Row],[Air Quality Status]]="unsafe",J419+1,0)</f>
        <v>68</v>
      </c>
    </row>
    <row r="421" spans="1:10" x14ac:dyDescent="0.3">
      <c r="A421" s="1">
        <v>44639</v>
      </c>
      <c r="B421">
        <v>107</v>
      </c>
      <c r="C421">
        <f t="shared" si="36"/>
        <v>2022</v>
      </c>
      <c r="D421" t="str">
        <f t="shared" si="37"/>
        <v>March</v>
      </c>
      <c r="E421">
        <f t="shared" si="38"/>
        <v>3</v>
      </c>
      <c r="F421" t="str">
        <f t="shared" si="39"/>
        <v>Mar 2022</v>
      </c>
      <c r="G421" t="str">
        <f t="shared" si="40"/>
        <v>Q1</v>
      </c>
      <c r="H421">
        <f>IF(AirQuality[[#This Row],[pm25  (ug/m3)]]&gt;15,1,0)</f>
        <v>1</v>
      </c>
      <c r="I421" t="str">
        <f t="shared" si="41"/>
        <v>unsafe</v>
      </c>
      <c r="J421">
        <f>IF(AirQuality[[#This Row],[Air Quality Status]]="unsafe",J420+1,0)</f>
        <v>69</v>
      </c>
    </row>
    <row r="422" spans="1:10" x14ac:dyDescent="0.3">
      <c r="A422" s="1">
        <v>44640</v>
      </c>
      <c r="B422">
        <v>111</v>
      </c>
      <c r="C422">
        <f t="shared" si="36"/>
        <v>2022</v>
      </c>
      <c r="D422" t="str">
        <f t="shared" si="37"/>
        <v>March</v>
      </c>
      <c r="E422">
        <f t="shared" si="38"/>
        <v>3</v>
      </c>
      <c r="F422" t="str">
        <f t="shared" si="39"/>
        <v>Mar 2022</v>
      </c>
      <c r="G422" t="str">
        <f t="shared" si="40"/>
        <v>Q1</v>
      </c>
      <c r="H422">
        <f>IF(AirQuality[[#This Row],[pm25  (ug/m3)]]&gt;15,1,0)</f>
        <v>1</v>
      </c>
      <c r="I422" t="str">
        <f t="shared" si="41"/>
        <v>unsafe</v>
      </c>
      <c r="J422">
        <f>IF(AirQuality[[#This Row],[Air Quality Status]]="unsafe",J421+1,0)</f>
        <v>70</v>
      </c>
    </row>
    <row r="423" spans="1:10" x14ac:dyDescent="0.3">
      <c r="A423" s="1">
        <v>44641</v>
      </c>
      <c r="B423">
        <v>92</v>
      </c>
      <c r="C423">
        <f t="shared" si="36"/>
        <v>2022</v>
      </c>
      <c r="D423" t="str">
        <f t="shared" si="37"/>
        <v>March</v>
      </c>
      <c r="E423">
        <f t="shared" si="38"/>
        <v>3</v>
      </c>
      <c r="F423" t="str">
        <f t="shared" si="39"/>
        <v>Mar 2022</v>
      </c>
      <c r="G423" t="str">
        <f t="shared" si="40"/>
        <v>Q1</v>
      </c>
      <c r="H423">
        <f>IF(AirQuality[[#This Row],[pm25  (ug/m3)]]&gt;15,1,0)</f>
        <v>1</v>
      </c>
      <c r="I423" t="str">
        <f t="shared" si="41"/>
        <v>unsafe</v>
      </c>
      <c r="J423">
        <f>IF(AirQuality[[#This Row],[Air Quality Status]]="unsafe",J422+1,0)</f>
        <v>71</v>
      </c>
    </row>
    <row r="424" spans="1:10" x14ac:dyDescent="0.3">
      <c r="A424" s="1">
        <v>44642</v>
      </c>
      <c r="B424">
        <v>86</v>
      </c>
      <c r="C424">
        <f t="shared" si="36"/>
        <v>2022</v>
      </c>
      <c r="D424" t="str">
        <f t="shared" si="37"/>
        <v>March</v>
      </c>
      <c r="E424">
        <f t="shared" si="38"/>
        <v>3</v>
      </c>
      <c r="F424" t="str">
        <f t="shared" si="39"/>
        <v>Mar 2022</v>
      </c>
      <c r="G424" t="str">
        <f t="shared" si="40"/>
        <v>Q1</v>
      </c>
      <c r="H424">
        <f>IF(AirQuality[[#This Row],[pm25  (ug/m3)]]&gt;15,1,0)</f>
        <v>1</v>
      </c>
      <c r="I424" t="str">
        <f t="shared" si="41"/>
        <v>unsafe</v>
      </c>
      <c r="J424">
        <f>IF(AirQuality[[#This Row],[Air Quality Status]]="unsafe",J423+1,0)</f>
        <v>72</v>
      </c>
    </row>
    <row r="425" spans="1:10" x14ac:dyDescent="0.3">
      <c r="A425" s="1">
        <v>44643</v>
      </c>
      <c r="B425">
        <v>71</v>
      </c>
      <c r="C425">
        <f t="shared" si="36"/>
        <v>2022</v>
      </c>
      <c r="D425" t="str">
        <f t="shared" si="37"/>
        <v>March</v>
      </c>
      <c r="E425">
        <f t="shared" si="38"/>
        <v>3</v>
      </c>
      <c r="F425" t="str">
        <f t="shared" si="39"/>
        <v>Mar 2022</v>
      </c>
      <c r="G425" t="str">
        <f t="shared" si="40"/>
        <v>Q1</v>
      </c>
      <c r="H425">
        <f>IF(AirQuality[[#This Row],[pm25  (ug/m3)]]&gt;15,1,0)</f>
        <v>1</v>
      </c>
      <c r="I425" t="str">
        <f t="shared" si="41"/>
        <v>unsafe</v>
      </c>
      <c r="J425">
        <f>IF(AirQuality[[#This Row],[Air Quality Status]]="unsafe",J424+1,0)</f>
        <v>73</v>
      </c>
    </row>
    <row r="426" spans="1:10" x14ac:dyDescent="0.3">
      <c r="A426" s="1">
        <v>44644</v>
      </c>
      <c r="B426">
        <v>72</v>
      </c>
      <c r="C426">
        <f t="shared" si="36"/>
        <v>2022</v>
      </c>
      <c r="D426" t="str">
        <f t="shared" si="37"/>
        <v>March</v>
      </c>
      <c r="E426">
        <f t="shared" si="38"/>
        <v>3</v>
      </c>
      <c r="F426" t="str">
        <f t="shared" si="39"/>
        <v>Mar 2022</v>
      </c>
      <c r="G426" t="str">
        <f t="shared" si="40"/>
        <v>Q1</v>
      </c>
      <c r="H426">
        <f>IF(AirQuality[[#This Row],[pm25  (ug/m3)]]&gt;15,1,0)</f>
        <v>1</v>
      </c>
      <c r="I426" t="str">
        <f t="shared" si="41"/>
        <v>unsafe</v>
      </c>
      <c r="J426">
        <f>IF(AirQuality[[#This Row],[Air Quality Status]]="unsafe",J425+1,0)</f>
        <v>74</v>
      </c>
    </row>
    <row r="427" spans="1:10" x14ac:dyDescent="0.3">
      <c r="A427" s="1">
        <v>44645</v>
      </c>
      <c r="B427">
        <v>53</v>
      </c>
      <c r="C427">
        <f t="shared" si="36"/>
        <v>2022</v>
      </c>
      <c r="D427" t="str">
        <f t="shared" si="37"/>
        <v>March</v>
      </c>
      <c r="E427">
        <f t="shared" si="38"/>
        <v>3</v>
      </c>
      <c r="F427" t="str">
        <f t="shared" si="39"/>
        <v>Mar 2022</v>
      </c>
      <c r="G427" t="str">
        <f t="shared" si="40"/>
        <v>Q1</v>
      </c>
      <c r="H427">
        <f>IF(AirQuality[[#This Row],[pm25  (ug/m3)]]&gt;15,1,0)</f>
        <v>1</v>
      </c>
      <c r="I427" t="str">
        <f t="shared" si="41"/>
        <v>unsafe</v>
      </c>
      <c r="J427">
        <f>IF(AirQuality[[#This Row],[Air Quality Status]]="unsafe",J426+1,0)</f>
        <v>75</v>
      </c>
    </row>
    <row r="428" spans="1:10" x14ac:dyDescent="0.3">
      <c r="A428" s="1">
        <v>44646</v>
      </c>
      <c r="B428">
        <v>94</v>
      </c>
      <c r="C428">
        <f t="shared" si="36"/>
        <v>2022</v>
      </c>
      <c r="D428" t="str">
        <f t="shared" si="37"/>
        <v>March</v>
      </c>
      <c r="E428">
        <f t="shared" si="38"/>
        <v>3</v>
      </c>
      <c r="F428" t="str">
        <f t="shared" si="39"/>
        <v>Mar 2022</v>
      </c>
      <c r="G428" t="str">
        <f t="shared" si="40"/>
        <v>Q1</v>
      </c>
      <c r="H428">
        <f>IF(AirQuality[[#This Row],[pm25  (ug/m3)]]&gt;15,1,0)</f>
        <v>1</v>
      </c>
      <c r="I428" t="str">
        <f t="shared" si="41"/>
        <v>unsafe</v>
      </c>
      <c r="J428">
        <f>IF(AirQuality[[#This Row],[Air Quality Status]]="unsafe",J427+1,0)</f>
        <v>76</v>
      </c>
    </row>
    <row r="429" spans="1:10" x14ac:dyDescent="0.3">
      <c r="A429" s="1">
        <v>44647</v>
      </c>
      <c r="B429">
        <v>115</v>
      </c>
      <c r="C429">
        <f t="shared" si="36"/>
        <v>2022</v>
      </c>
      <c r="D429" t="str">
        <f t="shared" si="37"/>
        <v>March</v>
      </c>
      <c r="E429">
        <f t="shared" si="38"/>
        <v>3</v>
      </c>
      <c r="F429" t="str">
        <f t="shared" si="39"/>
        <v>Mar 2022</v>
      </c>
      <c r="G429" t="str">
        <f t="shared" si="40"/>
        <v>Q1</v>
      </c>
      <c r="H429">
        <f>IF(AirQuality[[#This Row],[pm25  (ug/m3)]]&gt;15,1,0)</f>
        <v>1</v>
      </c>
      <c r="I429" t="str">
        <f t="shared" si="41"/>
        <v>unsafe</v>
      </c>
      <c r="J429">
        <f>IF(AirQuality[[#This Row],[Air Quality Status]]="unsafe",J428+1,0)</f>
        <v>77</v>
      </c>
    </row>
    <row r="430" spans="1:10" x14ac:dyDescent="0.3">
      <c r="A430" s="1">
        <v>44648</v>
      </c>
      <c r="B430">
        <v>97</v>
      </c>
      <c r="C430">
        <f t="shared" si="36"/>
        <v>2022</v>
      </c>
      <c r="D430" t="str">
        <f t="shared" si="37"/>
        <v>March</v>
      </c>
      <c r="E430">
        <f t="shared" si="38"/>
        <v>3</v>
      </c>
      <c r="F430" t="str">
        <f t="shared" si="39"/>
        <v>Mar 2022</v>
      </c>
      <c r="G430" t="str">
        <f t="shared" si="40"/>
        <v>Q1</v>
      </c>
      <c r="H430">
        <f>IF(AirQuality[[#This Row],[pm25  (ug/m3)]]&gt;15,1,0)</f>
        <v>1</v>
      </c>
      <c r="I430" t="str">
        <f t="shared" si="41"/>
        <v>unsafe</v>
      </c>
      <c r="J430">
        <f>IF(AirQuality[[#This Row],[Air Quality Status]]="unsafe",J429+1,0)</f>
        <v>78</v>
      </c>
    </row>
    <row r="431" spans="1:10" x14ac:dyDescent="0.3">
      <c r="A431" s="1">
        <v>44649</v>
      </c>
      <c r="B431">
        <v>72</v>
      </c>
      <c r="C431">
        <f t="shared" si="36"/>
        <v>2022</v>
      </c>
      <c r="D431" t="str">
        <f t="shared" si="37"/>
        <v>March</v>
      </c>
      <c r="E431">
        <f t="shared" si="38"/>
        <v>3</v>
      </c>
      <c r="F431" t="str">
        <f t="shared" si="39"/>
        <v>Mar 2022</v>
      </c>
      <c r="G431" t="str">
        <f t="shared" si="40"/>
        <v>Q1</v>
      </c>
      <c r="H431">
        <f>IF(AirQuality[[#This Row],[pm25  (ug/m3)]]&gt;15,1,0)</f>
        <v>1</v>
      </c>
      <c r="I431" t="str">
        <f t="shared" si="41"/>
        <v>unsafe</v>
      </c>
      <c r="J431">
        <f>IF(AirQuality[[#This Row],[Air Quality Status]]="unsafe",J430+1,0)</f>
        <v>79</v>
      </c>
    </row>
    <row r="432" spans="1:10" x14ac:dyDescent="0.3">
      <c r="A432" s="1">
        <v>44650</v>
      </c>
      <c r="B432">
        <v>83</v>
      </c>
      <c r="C432">
        <f t="shared" si="36"/>
        <v>2022</v>
      </c>
      <c r="D432" t="str">
        <f t="shared" si="37"/>
        <v>March</v>
      </c>
      <c r="E432">
        <f t="shared" si="38"/>
        <v>3</v>
      </c>
      <c r="F432" t="str">
        <f t="shared" si="39"/>
        <v>Mar 2022</v>
      </c>
      <c r="G432" t="str">
        <f t="shared" si="40"/>
        <v>Q1</v>
      </c>
      <c r="H432">
        <f>IF(AirQuality[[#This Row],[pm25  (ug/m3)]]&gt;15,1,0)</f>
        <v>1</v>
      </c>
      <c r="I432" t="str">
        <f t="shared" si="41"/>
        <v>unsafe</v>
      </c>
      <c r="J432">
        <f>IF(AirQuality[[#This Row],[Air Quality Status]]="unsafe",J431+1,0)</f>
        <v>80</v>
      </c>
    </row>
    <row r="433" spans="1:10" x14ac:dyDescent="0.3">
      <c r="A433" s="1">
        <v>44651</v>
      </c>
      <c r="B433">
        <v>83</v>
      </c>
      <c r="C433">
        <f t="shared" si="36"/>
        <v>2022</v>
      </c>
      <c r="D433" t="str">
        <f t="shared" si="37"/>
        <v>March</v>
      </c>
      <c r="E433">
        <f t="shared" si="38"/>
        <v>3</v>
      </c>
      <c r="F433" t="str">
        <f t="shared" si="39"/>
        <v>Mar 2022</v>
      </c>
      <c r="G433" t="str">
        <f t="shared" si="40"/>
        <v>Q1</v>
      </c>
      <c r="H433">
        <f>IF(AirQuality[[#This Row],[pm25  (ug/m3)]]&gt;15,1,0)</f>
        <v>1</v>
      </c>
      <c r="I433" t="str">
        <f t="shared" si="41"/>
        <v>unsafe</v>
      </c>
      <c r="J433">
        <f>IF(AirQuality[[#This Row],[Air Quality Status]]="unsafe",J432+1,0)</f>
        <v>81</v>
      </c>
    </row>
    <row r="434" spans="1:10" x14ac:dyDescent="0.3">
      <c r="A434" s="1">
        <v>44652</v>
      </c>
      <c r="B434">
        <v>97</v>
      </c>
      <c r="C434">
        <f t="shared" si="36"/>
        <v>2022</v>
      </c>
      <c r="D434" t="str">
        <f t="shared" si="37"/>
        <v>April</v>
      </c>
      <c r="E434">
        <f t="shared" si="38"/>
        <v>4</v>
      </c>
      <c r="F434" t="str">
        <f t="shared" si="39"/>
        <v>Apr 2022</v>
      </c>
      <c r="G434" t="str">
        <f t="shared" si="40"/>
        <v>Q2</v>
      </c>
      <c r="H434">
        <f>IF(AirQuality[[#This Row],[pm25  (ug/m3)]]&gt;15,1,0)</f>
        <v>1</v>
      </c>
      <c r="I434" t="str">
        <f t="shared" si="41"/>
        <v>unsafe</v>
      </c>
      <c r="J434">
        <f>IF(AirQuality[[#This Row],[Air Quality Status]]="unsafe",J433+1,0)</f>
        <v>82</v>
      </c>
    </row>
    <row r="435" spans="1:10" x14ac:dyDescent="0.3">
      <c r="A435" s="1">
        <v>44653</v>
      </c>
      <c r="B435">
        <v>85</v>
      </c>
      <c r="C435">
        <f t="shared" si="36"/>
        <v>2022</v>
      </c>
      <c r="D435" t="str">
        <f t="shared" si="37"/>
        <v>April</v>
      </c>
      <c r="E435">
        <f t="shared" si="38"/>
        <v>4</v>
      </c>
      <c r="F435" t="str">
        <f t="shared" si="39"/>
        <v>Apr 2022</v>
      </c>
      <c r="G435" t="str">
        <f t="shared" si="40"/>
        <v>Q2</v>
      </c>
      <c r="H435">
        <f>IF(AirQuality[[#This Row],[pm25  (ug/m3)]]&gt;15,1,0)</f>
        <v>1</v>
      </c>
      <c r="I435" t="str">
        <f t="shared" si="41"/>
        <v>unsafe</v>
      </c>
      <c r="J435">
        <f>IF(AirQuality[[#This Row],[Air Quality Status]]="unsafe",J434+1,0)</f>
        <v>83</v>
      </c>
    </row>
    <row r="436" spans="1:10" x14ac:dyDescent="0.3">
      <c r="A436" s="1">
        <v>44654</v>
      </c>
      <c r="B436">
        <v>76</v>
      </c>
      <c r="C436">
        <f t="shared" si="36"/>
        <v>2022</v>
      </c>
      <c r="D436" t="str">
        <f t="shared" si="37"/>
        <v>April</v>
      </c>
      <c r="E436">
        <f t="shared" si="38"/>
        <v>4</v>
      </c>
      <c r="F436" t="str">
        <f t="shared" si="39"/>
        <v>Apr 2022</v>
      </c>
      <c r="G436" t="str">
        <f t="shared" si="40"/>
        <v>Q2</v>
      </c>
      <c r="H436">
        <f>IF(AirQuality[[#This Row],[pm25  (ug/m3)]]&gt;15,1,0)</f>
        <v>1</v>
      </c>
      <c r="I436" t="str">
        <f t="shared" si="41"/>
        <v>unsafe</v>
      </c>
      <c r="J436">
        <f>IF(AirQuality[[#This Row],[Air Quality Status]]="unsafe",J435+1,0)</f>
        <v>84</v>
      </c>
    </row>
    <row r="437" spans="1:10" x14ac:dyDescent="0.3">
      <c r="A437" s="1">
        <v>44655</v>
      </c>
      <c r="B437">
        <v>78</v>
      </c>
      <c r="C437">
        <f t="shared" si="36"/>
        <v>2022</v>
      </c>
      <c r="D437" t="str">
        <f t="shared" si="37"/>
        <v>April</v>
      </c>
      <c r="E437">
        <f t="shared" si="38"/>
        <v>4</v>
      </c>
      <c r="F437" t="str">
        <f t="shared" si="39"/>
        <v>Apr 2022</v>
      </c>
      <c r="G437" t="str">
        <f t="shared" si="40"/>
        <v>Q2</v>
      </c>
      <c r="H437">
        <f>IF(AirQuality[[#This Row],[pm25  (ug/m3)]]&gt;15,1,0)</f>
        <v>1</v>
      </c>
      <c r="I437" t="str">
        <f t="shared" si="41"/>
        <v>unsafe</v>
      </c>
      <c r="J437">
        <f>IF(AirQuality[[#This Row],[Air Quality Status]]="unsafe",J436+1,0)</f>
        <v>85</v>
      </c>
    </row>
    <row r="438" spans="1:10" x14ac:dyDescent="0.3">
      <c r="A438" s="1">
        <v>44656</v>
      </c>
      <c r="B438">
        <v>68</v>
      </c>
      <c r="C438">
        <f t="shared" si="36"/>
        <v>2022</v>
      </c>
      <c r="D438" t="str">
        <f t="shared" si="37"/>
        <v>April</v>
      </c>
      <c r="E438">
        <f t="shared" si="38"/>
        <v>4</v>
      </c>
      <c r="F438" t="str">
        <f t="shared" si="39"/>
        <v>Apr 2022</v>
      </c>
      <c r="G438" t="str">
        <f t="shared" si="40"/>
        <v>Q2</v>
      </c>
      <c r="H438">
        <f>IF(AirQuality[[#This Row],[pm25  (ug/m3)]]&gt;15,1,0)</f>
        <v>1</v>
      </c>
      <c r="I438" t="str">
        <f t="shared" si="41"/>
        <v>unsafe</v>
      </c>
      <c r="J438">
        <f>IF(AirQuality[[#This Row],[Air Quality Status]]="unsafe",J437+1,0)</f>
        <v>86</v>
      </c>
    </row>
    <row r="439" spans="1:10" x14ac:dyDescent="0.3">
      <c r="A439" s="1">
        <v>44657</v>
      </c>
      <c r="B439">
        <v>94</v>
      </c>
      <c r="C439">
        <f t="shared" si="36"/>
        <v>2022</v>
      </c>
      <c r="D439" t="str">
        <f t="shared" si="37"/>
        <v>April</v>
      </c>
      <c r="E439">
        <f t="shared" si="38"/>
        <v>4</v>
      </c>
      <c r="F439" t="str">
        <f t="shared" si="39"/>
        <v>Apr 2022</v>
      </c>
      <c r="G439" t="str">
        <f t="shared" si="40"/>
        <v>Q2</v>
      </c>
      <c r="H439">
        <f>IF(AirQuality[[#This Row],[pm25  (ug/m3)]]&gt;15,1,0)</f>
        <v>1</v>
      </c>
      <c r="I439" t="str">
        <f t="shared" si="41"/>
        <v>unsafe</v>
      </c>
      <c r="J439">
        <f>IF(AirQuality[[#This Row],[Air Quality Status]]="unsafe",J438+1,0)</f>
        <v>87</v>
      </c>
    </row>
    <row r="440" spans="1:10" x14ac:dyDescent="0.3">
      <c r="A440" s="1">
        <v>44658</v>
      </c>
      <c r="B440">
        <v>99</v>
      </c>
      <c r="C440">
        <f t="shared" si="36"/>
        <v>2022</v>
      </c>
      <c r="D440" t="str">
        <f t="shared" si="37"/>
        <v>April</v>
      </c>
      <c r="E440">
        <f t="shared" si="38"/>
        <v>4</v>
      </c>
      <c r="F440" t="str">
        <f t="shared" si="39"/>
        <v>Apr 2022</v>
      </c>
      <c r="G440" t="str">
        <f t="shared" si="40"/>
        <v>Q2</v>
      </c>
      <c r="H440">
        <f>IF(AirQuality[[#This Row],[pm25  (ug/m3)]]&gt;15,1,0)</f>
        <v>1</v>
      </c>
      <c r="I440" t="str">
        <f t="shared" si="41"/>
        <v>unsafe</v>
      </c>
      <c r="J440">
        <f>IF(AirQuality[[#This Row],[Air Quality Status]]="unsafe",J439+1,0)</f>
        <v>88</v>
      </c>
    </row>
    <row r="441" spans="1:10" x14ac:dyDescent="0.3">
      <c r="A441" s="1">
        <v>44659</v>
      </c>
      <c r="B441">
        <v>85</v>
      </c>
      <c r="C441">
        <f t="shared" si="36"/>
        <v>2022</v>
      </c>
      <c r="D441" t="str">
        <f t="shared" si="37"/>
        <v>April</v>
      </c>
      <c r="E441">
        <f t="shared" si="38"/>
        <v>4</v>
      </c>
      <c r="F441" t="str">
        <f t="shared" si="39"/>
        <v>Apr 2022</v>
      </c>
      <c r="G441" t="str">
        <f t="shared" si="40"/>
        <v>Q2</v>
      </c>
      <c r="H441">
        <f>IF(AirQuality[[#This Row],[pm25  (ug/m3)]]&gt;15,1,0)</f>
        <v>1</v>
      </c>
      <c r="I441" t="str">
        <f t="shared" si="41"/>
        <v>unsafe</v>
      </c>
      <c r="J441">
        <f>IF(AirQuality[[#This Row],[Air Quality Status]]="unsafe",J440+1,0)</f>
        <v>89</v>
      </c>
    </row>
    <row r="442" spans="1:10" x14ac:dyDescent="0.3">
      <c r="A442" s="1">
        <v>44660</v>
      </c>
      <c r="B442">
        <v>75</v>
      </c>
      <c r="C442">
        <f t="shared" si="36"/>
        <v>2022</v>
      </c>
      <c r="D442" t="str">
        <f t="shared" si="37"/>
        <v>April</v>
      </c>
      <c r="E442">
        <f t="shared" si="38"/>
        <v>4</v>
      </c>
      <c r="F442" t="str">
        <f t="shared" si="39"/>
        <v>Apr 2022</v>
      </c>
      <c r="G442" t="str">
        <f t="shared" si="40"/>
        <v>Q2</v>
      </c>
      <c r="H442">
        <f>IF(AirQuality[[#This Row],[pm25  (ug/m3)]]&gt;15,1,0)</f>
        <v>1</v>
      </c>
      <c r="I442" t="str">
        <f t="shared" si="41"/>
        <v>unsafe</v>
      </c>
      <c r="J442">
        <f>IF(AirQuality[[#This Row],[Air Quality Status]]="unsafe",J441+1,0)</f>
        <v>90</v>
      </c>
    </row>
    <row r="443" spans="1:10" x14ac:dyDescent="0.3">
      <c r="A443" s="1">
        <v>44661</v>
      </c>
      <c r="B443">
        <v>106</v>
      </c>
      <c r="C443">
        <f t="shared" si="36"/>
        <v>2022</v>
      </c>
      <c r="D443" t="str">
        <f t="shared" si="37"/>
        <v>April</v>
      </c>
      <c r="E443">
        <f t="shared" si="38"/>
        <v>4</v>
      </c>
      <c r="F443" t="str">
        <f t="shared" si="39"/>
        <v>Apr 2022</v>
      </c>
      <c r="G443" t="str">
        <f t="shared" si="40"/>
        <v>Q2</v>
      </c>
      <c r="H443">
        <f>IF(AirQuality[[#This Row],[pm25  (ug/m3)]]&gt;15,1,0)</f>
        <v>1</v>
      </c>
      <c r="I443" t="str">
        <f t="shared" si="41"/>
        <v>unsafe</v>
      </c>
      <c r="J443">
        <f>IF(AirQuality[[#This Row],[Air Quality Status]]="unsafe",J442+1,0)</f>
        <v>91</v>
      </c>
    </row>
    <row r="444" spans="1:10" x14ac:dyDescent="0.3">
      <c r="A444" s="1">
        <v>44662</v>
      </c>
      <c r="B444">
        <v>49</v>
      </c>
      <c r="C444">
        <f t="shared" si="36"/>
        <v>2022</v>
      </c>
      <c r="D444" t="str">
        <f t="shared" si="37"/>
        <v>April</v>
      </c>
      <c r="E444">
        <f t="shared" si="38"/>
        <v>4</v>
      </c>
      <c r="F444" t="str">
        <f t="shared" si="39"/>
        <v>Apr 2022</v>
      </c>
      <c r="G444" t="str">
        <f t="shared" si="40"/>
        <v>Q2</v>
      </c>
      <c r="H444">
        <f>IF(AirQuality[[#This Row],[pm25  (ug/m3)]]&gt;15,1,0)</f>
        <v>1</v>
      </c>
      <c r="I444" t="str">
        <f t="shared" si="41"/>
        <v>unsafe</v>
      </c>
      <c r="J444">
        <f>IF(AirQuality[[#This Row],[Air Quality Status]]="unsafe",J443+1,0)</f>
        <v>92</v>
      </c>
    </row>
    <row r="445" spans="1:10" x14ac:dyDescent="0.3">
      <c r="A445" s="1">
        <v>44663</v>
      </c>
      <c r="B445">
        <v>64</v>
      </c>
      <c r="C445">
        <f t="shared" si="36"/>
        <v>2022</v>
      </c>
      <c r="D445" t="str">
        <f t="shared" si="37"/>
        <v>April</v>
      </c>
      <c r="E445">
        <f t="shared" si="38"/>
        <v>4</v>
      </c>
      <c r="F445" t="str">
        <f t="shared" si="39"/>
        <v>Apr 2022</v>
      </c>
      <c r="G445" t="str">
        <f t="shared" si="40"/>
        <v>Q2</v>
      </c>
      <c r="H445">
        <f>IF(AirQuality[[#This Row],[pm25  (ug/m3)]]&gt;15,1,0)</f>
        <v>1</v>
      </c>
      <c r="I445" t="str">
        <f t="shared" si="41"/>
        <v>unsafe</v>
      </c>
      <c r="J445">
        <f>IF(AirQuality[[#This Row],[Air Quality Status]]="unsafe",J444+1,0)</f>
        <v>93</v>
      </c>
    </row>
    <row r="446" spans="1:10" x14ac:dyDescent="0.3">
      <c r="A446" s="1">
        <v>44664</v>
      </c>
      <c r="B446">
        <v>78</v>
      </c>
      <c r="C446">
        <f t="shared" si="36"/>
        <v>2022</v>
      </c>
      <c r="D446" t="str">
        <f t="shared" si="37"/>
        <v>April</v>
      </c>
      <c r="E446">
        <f t="shared" si="38"/>
        <v>4</v>
      </c>
      <c r="F446" t="str">
        <f t="shared" si="39"/>
        <v>Apr 2022</v>
      </c>
      <c r="G446" t="str">
        <f t="shared" si="40"/>
        <v>Q2</v>
      </c>
      <c r="H446">
        <f>IF(AirQuality[[#This Row],[pm25  (ug/m3)]]&gt;15,1,0)</f>
        <v>1</v>
      </c>
      <c r="I446" t="str">
        <f t="shared" si="41"/>
        <v>unsafe</v>
      </c>
      <c r="J446">
        <f>IF(AirQuality[[#This Row],[Air Quality Status]]="unsafe",J445+1,0)</f>
        <v>94</v>
      </c>
    </row>
    <row r="447" spans="1:10" x14ac:dyDescent="0.3">
      <c r="A447" s="1">
        <v>44665</v>
      </c>
      <c r="B447">
        <v>53</v>
      </c>
      <c r="C447">
        <f t="shared" si="36"/>
        <v>2022</v>
      </c>
      <c r="D447" t="str">
        <f t="shared" si="37"/>
        <v>April</v>
      </c>
      <c r="E447">
        <f t="shared" si="38"/>
        <v>4</v>
      </c>
      <c r="F447" t="str">
        <f t="shared" si="39"/>
        <v>Apr 2022</v>
      </c>
      <c r="G447" t="str">
        <f t="shared" si="40"/>
        <v>Q2</v>
      </c>
      <c r="H447">
        <f>IF(AirQuality[[#This Row],[pm25  (ug/m3)]]&gt;15,1,0)</f>
        <v>1</v>
      </c>
      <c r="I447" t="str">
        <f t="shared" si="41"/>
        <v>unsafe</v>
      </c>
      <c r="J447">
        <f>IF(AirQuality[[#This Row],[Air Quality Status]]="unsafe",J446+1,0)</f>
        <v>95</v>
      </c>
    </row>
    <row r="448" spans="1:10" x14ac:dyDescent="0.3">
      <c r="A448" s="1">
        <v>44666</v>
      </c>
      <c r="B448">
        <v>34</v>
      </c>
      <c r="C448">
        <f t="shared" si="36"/>
        <v>2022</v>
      </c>
      <c r="D448" t="str">
        <f t="shared" si="37"/>
        <v>April</v>
      </c>
      <c r="E448">
        <f t="shared" si="38"/>
        <v>4</v>
      </c>
      <c r="F448" t="str">
        <f t="shared" si="39"/>
        <v>Apr 2022</v>
      </c>
      <c r="G448" t="str">
        <f t="shared" si="40"/>
        <v>Q2</v>
      </c>
      <c r="H448">
        <f>IF(AirQuality[[#This Row],[pm25  (ug/m3)]]&gt;15,1,0)</f>
        <v>1</v>
      </c>
      <c r="I448" t="str">
        <f t="shared" si="41"/>
        <v>unsafe</v>
      </c>
      <c r="J448">
        <f>IF(AirQuality[[#This Row],[Air Quality Status]]="unsafe",J447+1,0)</f>
        <v>96</v>
      </c>
    </row>
    <row r="449" spans="1:10" x14ac:dyDescent="0.3">
      <c r="A449" s="1">
        <v>44667</v>
      </c>
      <c r="B449">
        <v>57</v>
      </c>
      <c r="C449">
        <f t="shared" si="36"/>
        <v>2022</v>
      </c>
      <c r="D449" t="str">
        <f t="shared" si="37"/>
        <v>April</v>
      </c>
      <c r="E449">
        <f t="shared" si="38"/>
        <v>4</v>
      </c>
      <c r="F449" t="str">
        <f t="shared" si="39"/>
        <v>Apr 2022</v>
      </c>
      <c r="G449" t="str">
        <f t="shared" si="40"/>
        <v>Q2</v>
      </c>
      <c r="H449">
        <f>IF(AirQuality[[#This Row],[pm25  (ug/m3)]]&gt;15,1,0)</f>
        <v>1</v>
      </c>
      <c r="I449" t="str">
        <f t="shared" si="41"/>
        <v>unsafe</v>
      </c>
      <c r="J449">
        <f>IF(AirQuality[[#This Row],[Air Quality Status]]="unsafe",J448+1,0)</f>
        <v>97</v>
      </c>
    </row>
    <row r="450" spans="1:10" x14ac:dyDescent="0.3">
      <c r="A450" s="1">
        <v>44668</v>
      </c>
      <c r="B450">
        <v>42</v>
      </c>
      <c r="C450">
        <f t="shared" ref="C450:C513" si="42">YEAR(A450)</f>
        <v>2022</v>
      </c>
      <c r="D450" t="str">
        <f t="shared" ref="D450:D513" si="43">TEXT(A450,"mmmm")</f>
        <v>April</v>
      </c>
      <c r="E450">
        <f t="shared" ref="E450:E513" si="44">MONTH(A450)</f>
        <v>4</v>
      </c>
      <c r="F450" t="str">
        <f t="shared" ref="F450:F513" si="45">TEXT(A450,"mmm yyyy")</f>
        <v>Apr 2022</v>
      </c>
      <c r="G450" t="str">
        <f t="shared" ref="G450:G513" si="46">"Q"&amp;ROUNDUP(MONTH(A450)/3,0)</f>
        <v>Q2</v>
      </c>
      <c r="H450">
        <f>IF(AirQuality[[#This Row],[pm25  (ug/m3)]]&gt;15,1,0)</f>
        <v>1</v>
      </c>
      <c r="I450" t="str">
        <f t="shared" ref="I450:I513" si="47">IF(B450&gt;15,"unsafe","safe")</f>
        <v>unsafe</v>
      </c>
      <c r="J450">
        <f>IF(AirQuality[[#This Row],[Air Quality Status]]="unsafe",J449+1,0)</f>
        <v>98</v>
      </c>
    </row>
    <row r="451" spans="1:10" x14ac:dyDescent="0.3">
      <c r="A451" s="1">
        <v>44669</v>
      </c>
      <c r="B451">
        <v>91</v>
      </c>
      <c r="C451">
        <f t="shared" si="42"/>
        <v>2022</v>
      </c>
      <c r="D451" t="str">
        <f t="shared" si="43"/>
        <v>April</v>
      </c>
      <c r="E451">
        <f t="shared" si="44"/>
        <v>4</v>
      </c>
      <c r="F451" t="str">
        <f t="shared" si="45"/>
        <v>Apr 2022</v>
      </c>
      <c r="G451" t="str">
        <f t="shared" si="46"/>
        <v>Q2</v>
      </c>
      <c r="H451">
        <f>IF(AirQuality[[#This Row],[pm25  (ug/m3)]]&gt;15,1,0)</f>
        <v>1</v>
      </c>
      <c r="I451" t="str">
        <f t="shared" si="47"/>
        <v>unsafe</v>
      </c>
      <c r="J451">
        <f>IF(AirQuality[[#This Row],[Air Quality Status]]="unsafe",J450+1,0)</f>
        <v>99</v>
      </c>
    </row>
    <row r="452" spans="1:10" x14ac:dyDescent="0.3">
      <c r="A452" s="1">
        <v>44670</v>
      </c>
      <c r="B452">
        <v>97</v>
      </c>
      <c r="C452">
        <f t="shared" si="42"/>
        <v>2022</v>
      </c>
      <c r="D452" t="str">
        <f t="shared" si="43"/>
        <v>April</v>
      </c>
      <c r="E452">
        <f t="shared" si="44"/>
        <v>4</v>
      </c>
      <c r="F452" t="str">
        <f t="shared" si="45"/>
        <v>Apr 2022</v>
      </c>
      <c r="G452" t="str">
        <f t="shared" si="46"/>
        <v>Q2</v>
      </c>
      <c r="H452">
        <f>IF(AirQuality[[#This Row],[pm25  (ug/m3)]]&gt;15,1,0)</f>
        <v>1</v>
      </c>
      <c r="I452" t="str">
        <f t="shared" si="47"/>
        <v>unsafe</v>
      </c>
      <c r="J452">
        <f>IF(AirQuality[[#This Row],[Air Quality Status]]="unsafe",J451+1,0)</f>
        <v>100</v>
      </c>
    </row>
    <row r="453" spans="1:10" x14ac:dyDescent="0.3">
      <c r="A453" s="1">
        <v>44671</v>
      </c>
      <c r="B453">
        <v>47</v>
      </c>
      <c r="C453">
        <f t="shared" si="42"/>
        <v>2022</v>
      </c>
      <c r="D453" t="str">
        <f t="shared" si="43"/>
        <v>April</v>
      </c>
      <c r="E453">
        <f t="shared" si="44"/>
        <v>4</v>
      </c>
      <c r="F453" t="str">
        <f t="shared" si="45"/>
        <v>Apr 2022</v>
      </c>
      <c r="G453" t="str">
        <f t="shared" si="46"/>
        <v>Q2</v>
      </c>
      <c r="H453">
        <f>IF(AirQuality[[#This Row],[pm25  (ug/m3)]]&gt;15,1,0)</f>
        <v>1</v>
      </c>
      <c r="I453" t="str">
        <f t="shared" si="47"/>
        <v>unsafe</v>
      </c>
      <c r="J453">
        <f>IF(AirQuality[[#This Row],[Air Quality Status]]="unsafe",J452+1,0)</f>
        <v>101</v>
      </c>
    </row>
    <row r="454" spans="1:10" x14ac:dyDescent="0.3">
      <c r="A454" s="1">
        <v>44672</v>
      </c>
      <c r="B454">
        <v>89</v>
      </c>
      <c r="C454">
        <f t="shared" si="42"/>
        <v>2022</v>
      </c>
      <c r="D454" t="str">
        <f t="shared" si="43"/>
        <v>April</v>
      </c>
      <c r="E454">
        <f t="shared" si="44"/>
        <v>4</v>
      </c>
      <c r="F454" t="str">
        <f t="shared" si="45"/>
        <v>Apr 2022</v>
      </c>
      <c r="G454" t="str">
        <f t="shared" si="46"/>
        <v>Q2</v>
      </c>
      <c r="H454">
        <f>IF(AirQuality[[#This Row],[pm25  (ug/m3)]]&gt;15,1,0)</f>
        <v>1</v>
      </c>
      <c r="I454" t="str">
        <f t="shared" si="47"/>
        <v>unsafe</v>
      </c>
      <c r="J454">
        <f>IF(AirQuality[[#This Row],[Air Quality Status]]="unsafe",J453+1,0)</f>
        <v>102</v>
      </c>
    </row>
    <row r="455" spans="1:10" x14ac:dyDescent="0.3">
      <c r="A455" s="1">
        <v>44673</v>
      </c>
      <c r="B455">
        <v>83</v>
      </c>
      <c r="C455">
        <f t="shared" si="42"/>
        <v>2022</v>
      </c>
      <c r="D455" t="str">
        <f t="shared" si="43"/>
        <v>April</v>
      </c>
      <c r="E455">
        <f t="shared" si="44"/>
        <v>4</v>
      </c>
      <c r="F455" t="str">
        <f t="shared" si="45"/>
        <v>Apr 2022</v>
      </c>
      <c r="G455" t="str">
        <f t="shared" si="46"/>
        <v>Q2</v>
      </c>
      <c r="H455">
        <f>IF(AirQuality[[#This Row],[pm25  (ug/m3)]]&gt;15,1,0)</f>
        <v>1</v>
      </c>
      <c r="I455" t="str">
        <f t="shared" si="47"/>
        <v>unsafe</v>
      </c>
      <c r="J455">
        <f>IF(AirQuality[[#This Row],[Air Quality Status]]="unsafe",J454+1,0)</f>
        <v>103</v>
      </c>
    </row>
    <row r="456" spans="1:10" x14ac:dyDescent="0.3">
      <c r="A456" s="1">
        <v>44674</v>
      </c>
      <c r="B456">
        <v>24</v>
      </c>
      <c r="C456">
        <f t="shared" si="42"/>
        <v>2022</v>
      </c>
      <c r="D456" t="str">
        <f t="shared" si="43"/>
        <v>April</v>
      </c>
      <c r="E456">
        <f t="shared" si="44"/>
        <v>4</v>
      </c>
      <c r="F456" t="str">
        <f t="shared" si="45"/>
        <v>Apr 2022</v>
      </c>
      <c r="G456" t="str">
        <f t="shared" si="46"/>
        <v>Q2</v>
      </c>
      <c r="H456">
        <f>IF(AirQuality[[#This Row],[pm25  (ug/m3)]]&gt;15,1,0)</f>
        <v>1</v>
      </c>
      <c r="I456" t="str">
        <f t="shared" si="47"/>
        <v>unsafe</v>
      </c>
      <c r="J456">
        <f>IF(AirQuality[[#This Row],[Air Quality Status]]="unsafe",J455+1,0)</f>
        <v>104</v>
      </c>
    </row>
    <row r="457" spans="1:10" x14ac:dyDescent="0.3">
      <c r="A457" s="1">
        <v>44675</v>
      </c>
      <c r="B457">
        <v>60</v>
      </c>
      <c r="C457">
        <f t="shared" si="42"/>
        <v>2022</v>
      </c>
      <c r="D457" t="str">
        <f t="shared" si="43"/>
        <v>April</v>
      </c>
      <c r="E457">
        <f t="shared" si="44"/>
        <v>4</v>
      </c>
      <c r="F457" t="str">
        <f t="shared" si="45"/>
        <v>Apr 2022</v>
      </c>
      <c r="G457" t="str">
        <f t="shared" si="46"/>
        <v>Q2</v>
      </c>
      <c r="H457">
        <f>IF(AirQuality[[#This Row],[pm25  (ug/m3)]]&gt;15,1,0)</f>
        <v>1</v>
      </c>
      <c r="I457" t="str">
        <f t="shared" si="47"/>
        <v>unsafe</v>
      </c>
      <c r="J457">
        <f>IF(AirQuality[[#This Row],[Air Quality Status]]="unsafe",J456+1,0)</f>
        <v>105</v>
      </c>
    </row>
    <row r="458" spans="1:10" x14ac:dyDescent="0.3">
      <c r="A458" s="1">
        <v>44676</v>
      </c>
      <c r="B458">
        <v>87</v>
      </c>
      <c r="C458">
        <f t="shared" si="42"/>
        <v>2022</v>
      </c>
      <c r="D458" t="str">
        <f t="shared" si="43"/>
        <v>April</v>
      </c>
      <c r="E458">
        <f t="shared" si="44"/>
        <v>4</v>
      </c>
      <c r="F458" t="str">
        <f t="shared" si="45"/>
        <v>Apr 2022</v>
      </c>
      <c r="G458" t="str">
        <f t="shared" si="46"/>
        <v>Q2</v>
      </c>
      <c r="H458">
        <f>IF(AirQuality[[#This Row],[pm25  (ug/m3)]]&gt;15,1,0)</f>
        <v>1</v>
      </c>
      <c r="I458" t="str">
        <f t="shared" si="47"/>
        <v>unsafe</v>
      </c>
      <c r="J458">
        <f>IF(AirQuality[[#This Row],[Air Quality Status]]="unsafe",J457+1,0)</f>
        <v>106</v>
      </c>
    </row>
    <row r="459" spans="1:10" x14ac:dyDescent="0.3">
      <c r="A459" s="1">
        <v>44677</v>
      </c>
      <c r="B459">
        <v>42</v>
      </c>
      <c r="C459">
        <f t="shared" si="42"/>
        <v>2022</v>
      </c>
      <c r="D459" t="str">
        <f t="shared" si="43"/>
        <v>April</v>
      </c>
      <c r="E459">
        <f t="shared" si="44"/>
        <v>4</v>
      </c>
      <c r="F459" t="str">
        <f t="shared" si="45"/>
        <v>Apr 2022</v>
      </c>
      <c r="G459" t="str">
        <f t="shared" si="46"/>
        <v>Q2</v>
      </c>
      <c r="H459">
        <f>IF(AirQuality[[#This Row],[pm25  (ug/m3)]]&gt;15,1,0)</f>
        <v>1</v>
      </c>
      <c r="I459" t="str">
        <f t="shared" si="47"/>
        <v>unsafe</v>
      </c>
      <c r="J459">
        <f>IF(AirQuality[[#This Row],[Air Quality Status]]="unsafe",J458+1,0)</f>
        <v>107</v>
      </c>
    </row>
    <row r="460" spans="1:10" x14ac:dyDescent="0.3">
      <c r="A460" s="1">
        <v>44678</v>
      </c>
      <c r="B460">
        <v>44</v>
      </c>
      <c r="C460">
        <f t="shared" si="42"/>
        <v>2022</v>
      </c>
      <c r="D460" t="str">
        <f t="shared" si="43"/>
        <v>April</v>
      </c>
      <c r="E460">
        <f t="shared" si="44"/>
        <v>4</v>
      </c>
      <c r="F460" t="str">
        <f t="shared" si="45"/>
        <v>Apr 2022</v>
      </c>
      <c r="G460" t="str">
        <f t="shared" si="46"/>
        <v>Q2</v>
      </c>
      <c r="H460">
        <f>IF(AirQuality[[#This Row],[pm25  (ug/m3)]]&gt;15,1,0)</f>
        <v>1</v>
      </c>
      <c r="I460" t="str">
        <f t="shared" si="47"/>
        <v>unsafe</v>
      </c>
      <c r="J460">
        <f>IF(AirQuality[[#This Row],[Air Quality Status]]="unsafe",J459+1,0)</f>
        <v>108</v>
      </c>
    </row>
    <row r="461" spans="1:10" x14ac:dyDescent="0.3">
      <c r="A461" s="1">
        <v>44679</v>
      </c>
      <c r="B461">
        <v>93</v>
      </c>
      <c r="C461">
        <f t="shared" si="42"/>
        <v>2022</v>
      </c>
      <c r="D461" t="str">
        <f t="shared" si="43"/>
        <v>April</v>
      </c>
      <c r="E461">
        <f t="shared" si="44"/>
        <v>4</v>
      </c>
      <c r="F461" t="str">
        <f t="shared" si="45"/>
        <v>Apr 2022</v>
      </c>
      <c r="G461" t="str">
        <f t="shared" si="46"/>
        <v>Q2</v>
      </c>
      <c r="H461">
        <f>IF(AirQuality[[#This Row],[pm25  (ug/m3)]]&gt;15,1,0)</f>
        <v>1</v>
      </c>
      <c r="I461" t="str">
        <f t="shared" si="47"/>
        <v>unsafe</v>
      </c>
      <c r="J461">
        <f>IF(AirQuality[[#This Row],[Air Quality Status]]="unsafe",J460+1,0)</f>
        <v>109</v>
      </c>
    </row>
    <row r="462" spans="1:10" x14ac:dyDescent="0.3">
      <c r="A462" s="1">
        <v>44680</v>
      </c>
      <c r="B462">
        <v>82</v>
      </c>
      <c r="C462">
        <f t="shared" si="42"/>
        <v>2022</v>
      </c>
      <c r="D462" t="str">
        <f t="shared" si="43"/>
        <v>April</v>
      </c>
      <c r="E462">
        <f t="shared" si="44"/>
        <v>4</v>
      </c>
      <c r="F462" t="str">
        <f t="shared" si="45"/>
        <v>Apr 2022</v>
      </c>
      <c r="G462" t="str">
        <f t="shared" si="46"/>
        <v>Q2</v>
      </c>
      <c r="H462">
        <f>IF(AirQuality[[#This Row],[pm25  (ug/m3)]]&gt;15,1,0)</f>
        <v>1</v>
      </c>
      <c r="I462" t="str">
        <f t="shared" si="47"/>
        <v>unsafe</v>
      </c>
      <c r="J462">
        <f>IF(AirQuality[[#This Row],[Air Quality Status]]="unsafe",J461+1,0)</f>
        <v>110</v>
      </c>
    </row>
    <row r="463" spans="1:10" x14ac:dyDescent="0.3">
      <c r="A463" s="1">
        <v>44681</v>
      </c>
      <c r="B463">
        <v>106</v>
      </c>
      <c r="C463">
        <f t="shared" si="42"/>
        <v>2022</v>
      </c>
      <c r="D463" t="str">
        <f t="shared" si="43"/>
        <v>April</v>
      </c>
      <c r="E463">
        <f t="shared" si="44"/>
        <v>4</v>
      </c>
      <c r="F463" t="str">
        <f t="shared" si="45"/>
        <v>Apr 2022</v>
      </c>
      <c r="G463" t="str">
        <f t="shared" si="46"/>
        <v>Q2</v>
      </c>
      <c r="H463">
        <f>IF(AirQuality[[#This Row],[pm25  (ug/m3)]]&gt;15,1,0)</f>
        <v>1</v>
      </c>
      <c r="I463" t="str">
        <f t="shared" si="47"/>
        <v>unsafe</v>
      </c>
      <c r="J463">
        <f>IF(AirQuality[[#This Row],[Air Quality Status]]="unsafe",J462+1,0)</f>
        <v>111</v>
      </c>
    </row>
    <row r="464" spans="1:10" x14ac:dyDescent="0.3">
      <c r="A464" s="1">
        <v>44682</v>
      </c>
      <c r="B464">
        <v>39</v>
      </c>
      <c r="C464">
        <f t="shared" si="42"/>
        <v>2022</v>
      </c>
      <c r="D464" t="str">
        <f t="shared" si="43"/>
        <v>May</v>
      </c>
      <c r="E464">
        <f t="shared" si="44"/>
        <v>5</v>
      </c>
      <c r="F464" t="str">
        <f t="shared" si="45"/>
        <v>May 2022</v>
      </c>
      <c r="G464" t="str">
        <f t="shared" si="46"/>
        <v>Q2</v>
      </c>
      <c r="H464">
        <f>IF(AirQuality[[#This Row],[pm25  (ug/m3)]]&gt;15,1,0)</f>
        <v>1</v>
      </c>
      <c r="I464" t="str">
        <f t="shared" si="47"/>
        <v>unsafe</v>
      </c>
      <c r="J464">
        <f>IF(AirQuality[[#This Row],[Air Quality Status]]="unsafe",J463+1,0)</f>
        <v>112</v>
      </c>
    </row>
    <row r="465" spans="1:10" x14ac:dyDescent="0.3">
      <c r="A465" s="1">
        <v>44683</v>
      </c>
      <c r="B465">
        <v>37</v>
      </c>
      <c r="C465">
        <f t="shared" si="42"/>
        <v>2022</v>
      </c>
      <c r="D465" t="str">
        <f t="shared" si="43"/>
        <v>May</v>
      </c>
      <c r="E465">
        <f t="shared" si="44"/>
        <v>5</v>
      </c>
      <c r="F465" t="str">
        <f t="shared" si="45"/>
        <v>May 2022</v>
      </c>
      <c r="G465" t="str">
        <f t="shared" si="46"/>
        <v>Q2</v>
      </c>
      <c r="H465">
        <f>IF(AirQuality[[#This Row],[pm25  (ug/m3)]]&gt;15,1,0)</f>
        <v>1</v>
      </c>
      <c r="I465" t="str">
        <f t="shared" si="47"/>
        <v>unsafe</v>
      </c>
      <c r="J465">
        <f>IF(AirQuality[[#This Row],[Air Quality Status]]="unsafe",J464+1,0)</f>
        <v>113</v>
      </c>
    </row>
    <row r="466" spans="1:10" x14ac:dyDescent="0.3">
      <c r="A466" s="1">
        <v>44684</v>
      </c>
      <c r="B466">
        <v>56</v>
      </c>
      <c r="C466">
        <f t="shared" si="42"/>
        <v>2022</v>
      </c>
      <c r="D466" t="str">
        <f t="shared" si="43"/>
        <v>May</v>
      </c>
      <c r="E466">
        <f t="shared" si="44"/>
        <v>5</v>
      </c>
      <c r="F466" t="str">
        <f t="shared" si="45"/>
        <v>May 2022</v>
      </c>
      <c r="G466" t="str">
        <f t="shared" si="46"/>
        <v>Q2</v>
      </c>
      <c r="H466">
        <f>IF(AirQuality[[#This Row],[pm25  (ug/m3)]]&gt;15,1,0)</f>
        <v>1</v>
      </c>
      <c r="I466" t="str">
        <f t="shared" si="47"/>
        <v>unsafe</v>
      </c>
      <c r="J466">
        <f>IF(AirQuality[[#This Row],[Air Quality Status]]="unsafe",J465+1,0)</f>
        <v>114</v>
      </c>
    </row>
    <row r="467" spans="1:10" x14ac:dyDescent="0.3">
      <c r="A467" s="1">
        <v>44685</v>
      </c>
      <c r="B467">
        <v>46</v>
      </c>
      <c r="C467">
        <f t="shared" si="42"/>
        <v>2022</v>
      </c>
      <c r="D467" t="str">
        <f t="shared" si="43"/>
        <v>May</v>
      </c>
      <c r="E467">
        <f t="shared" si="44"/>
        <v>5</v>
      </c>
      <c r="F467" t="str">
        <f t="shared" si="45"/>
        <v>May 2022</v>
      </c>
      <c r="G467" t="str">
        <f t="shared" si="46"/>
        <v>Q2</v>
      </c>
      <c r="H467">
        <f>IF(AirQuality[[#This Row],[pm25  (ug/m3)]]&gt;15,1,0)</f>
        <v>1</v>
      </c>
      <c r="I467" t="str">
        <f t="shared" si="47"/>
        <v>unsafe</v>
      </c>
      <c r="J467">
        <f>IF(AirQuality[[#This Row],[Air Quality Status]]="unsafe",J466+1,0)</f>
        <v>115</v>
      </c>
    </row>
    <row r="468" spans="1:10" x14ac:dyDescent="0.3">
      <c r="A468" s="1">
        <v>44686</v>
      </c>
      <c r="B468">
        <v>86</v>
      </c>
      <c r="C468">
        <f t="shared" si="42"/>
        <v>2022</v>
      </c>
      <c r="D468" t="str">
        <f t="shared" si="43"/>
        <v>May</v>
      </c>
      <c r="E468">
        <f t="shared" si="44"/>
        <v>5</v>
      </c>
      <c r="F468" t="str">
        <f t="shared" si="45"/>
        <v>May 2022</v>
      </c>
      <c r="G468" t="str">
        <f t="shared" si="46"/>
        <v>Q2</v>
      </c>
      <c r="H468">
        <f>IF(AirQuality[[#This Row],[pm25  (ug/m3)]]&gt;15,1,0)</f>
        <v>1</v>
      </c>
      <c r="I468" t="str">
        <f t="shared" si="47"/>
        <v>unsafe</v>
      </c>
      <c r="J468">
        <f>IF(AirQuality[[#This Row],[Air Quality Status]]="unsafe",J467+1,0)</f>
        <v>116</v>
      </c>
    </row>
    <row r="469" spans="1:10" x14ac:dyDescent="0.3">
      <c r="A469" s="1">
        <v>44687</v>
      </c>
      <c r="B469">
        <v>83</v>
      </c>
      <c r="C469">
        <f t="shared" si="42"/>
        <v>2022</v>
      </c>
      <c r="D469" t="str">
        <f t="shared" si="43"/>
        <v>May</v>
      </c>
      <c r="E469">
        <f t="shared" si="44"/>
        <v>5</v>
      </c>
      <c r="F469" t="str">
        <f t="shared" si="45"/>
        <v>May 2022</v>
      </c>
      <c r="G469" t="str">
        <f t="shared" si="46"/>
        <v>Q2</v>
      </c>
      <c r="H469">
        <f>IF(AirQuality[[#This Row],[pm25  (ug/m3)]]&gt;15,1,0)</f>
        <v>1</v>
      </c>
      <c r="I469" t="str">
        <f t="shared" si="47"/>
        <v>unsafe</v>
      </c>
      <c r="J469">
        <f>IF(AirQuality[[#This Row],[Air Quality Status]]="unsafe",J468+1,0)</f>
        <v>117</v>
      </c>
    </row>
    <row r="470" spans="1:10" x14ac:dyDescent="0.3">
      <c r="A470" s="1">
        <v>44688</v>
      </c>
      <c r="B470">
        <v>111</v>
      </c>
      <c r="C470">
        <f t="shared" si="42"/>
        <v>2022</v>
      </c>
      <c r="D470" t="str">
        <f t="shared" si="43"/>
        <v>May</v>
      </c>
      <c r="E470">
        <f t="shared" si="44"/>
        <v>5</v>
      </c>
      <c r="F470" t="str">
        <f t="shared" si="45"/>
        <v>May 2022</v>
      </c>
      <c r="G470" t="str">
        <f t="shared" si="46"/>
        <v>Q2</v>
      </c>
      <c r="H470">
        <f>IF(AirQuality[[#This Row],[pm25  (ug/m3)]]&gt;15,1,0)</f>
        <v>1</v>
      </c>
      <c r="I470" t="str">
        <f t="shared" si="47"/>
        <v>unsafe</v>
      </c>
      <c r="J470">
        <f>IF(AirQuality[[#This Row],[Air Quality Status]]="unsafe",J469+1,0)</f>
        <v>118</v>
      </c>
    </row>
    <row r="471" spans="1:10" x14ac:dyDescent="0.3">
      <c r="A471" s="1">
        <v>44689</v>
      </c>
      <c r="B471">
        <v>84</v>
      </c>
      <c r="C471">
        <f t="shared" si="42"/>
        <v>2022</v>
      </c>
      <c r="D471" t="str">
        <f t="shared" si="43"/>
        <v>May</v>
      </c>
      <c r="E471">
        <f t="shared" si="44"/>
        <v>5</v>
      </c>
      <c r="F471" t="str">
        <f t="shared" si="45"/>
        <v>May 2022</v>
      </c>
      <c r="G471" t="str">
        <f t="shared" si="46"/>
        <v>Q2</v>
      </c>
      <c r="H471">
        <f>IF(AirQuality[[#This Row],[pm25  (ug/m3)]]&gt;15,1,0)</f>
        <v>1</v>
      </c>
      <c r="I471" t="str">
        <f t="shared" si="47"/>
        <v>unsafe</v>
      </c>
      <c r="J471">
        <f>IF(AirQuality[[#This Row],[Air Quality Status]]="unsafe",J470+1,0)</f>
        <v>119</v>
      </c>
    </row>
    <row r="472" spans="1:10" x14ac:dyDescent="0.3">
      <c r="A472" s="1">
        <v>44690</v>
      </c>
      <c r="B472">
        <v>72</v>
      </c>
      <c r="C472">
        <f t="shared" si="42"/>
        <v>2022</v>
      </c>
      <c r="D472" t="str">
        <f t="shared" si="43"/>
        <v>May</v>
      </c>
      <c r="E472">
        <f t="shared" si="44"/>
        <v>5</v>
      </c>
      <c r="F472" t="str">
        <f t="shared" si="45"/>
        <v>May 2022</v>
      </c>
      <c r="G472" t="str">
        <f t="shared" si="46"/>
        <v>Q2</v>
      </c>
      <c r="H472">
        <f>IF(AirQuality[[#This Row],[pm25  (ug/m3)]]&gt;15,1,0)</f>
        <v>1</v>
      </c>
      <c r="I472" t="str">
        <f t="shared" si="47"/>
        <v>unsafe</v>
      </c>
      <c r="J472">
        <f>IF(AirQuality[[#This Row],[Air Quality Status]]="unsafe",J471+1,0)</f>
        <v>120</v>
      </c>
    </row>
    <row r="473" spans="1:10" x14ac:dyDescent="0.3">
      <c r="A473" s="1">
        <v>44691</v>
      </c>
      <c r="B473">
        <v>108</v>
      </c>
      <c r="C473">
        <f t="shared" si="42"/>
        <v>2022</v>
      </c>
      <c r="D473" t="str">
        <f t="shared" si="43"/>
        <v>May</v>
      </c>
      <c r="E473">
        <f t="shared" si="44"/>
        <v>5</v>
      </c>
      <c r="F473" t="str">
        <f t="shared" si="45"/>
        <v>May 2022</v>
      </c>
      <c r="G473" t="str">
        <f t="shared" si="46"/>
        <v>Q2</v>
      </c>
      <c r="H473">
        <f>IF(AirQuality[[#This Row],[pm25  (ug/m3)]]&gt;15,1,0)</f>
        <v>1</v>
      </c>
      <c r="I473" t="str">
        <f t="shared" si="47"/>
        <v>unsafe</v>
      </c>
      <c r="J473">
        <f>IF(AirQuality[[#This Row],[Air Quality Status]]="unsafe",J472+1,0)</f>
        <v>121</v>
      </c>
    </row>
    <row r="474" spans="1:10" x14ac:dyDescent="0.3">
      <c r="A474" s="1">
        <v>44692</v>
      </c>
      <c r="B474">
        <v>70</v>
      </c>
      <c r="C474">
        <f t="shared" si="42"/>
        <v>2022</v>
      </c>
      <c r="D474" t="str">
        <f t="shared" si="43"/>
        <v>May</v>
      </c>
      <c r="E474">
        <f t="shared" si="44"/>
        <v>5</v>
      </c>
      <c r="F474" t="str">
        <f t="shared" si="45"/>
        <v>May 2022</v>
      </c>
      <c r="G474" t="str">
        <f t="shared" si="46"/>
        <v>Q2</v>
      </c>
      <c r="H474">
        <f>IF(AirQuality[[#This Row],[pm25  (ug/m3)]]&gt;15,1,0)</f>
        <v>1</v>
      </c>
      <c r="I474" t="str">
        <f t="shared" si="47"/>
        <v>unsafe</v>
      </c>
      <c r="J474">
        <f>IF(AirQuality[[#This Row],[Air Quality Status]]="unsafe",J473+1,0)</f>
        <v>122</v>
      </c>
    </row>
    <row r="475" spans="1:10" x14ac:dyDescent="0.3">
      <c r="A475" s="1">
        <v>44693</v>
      </c>
      <c r="B475">
        <v>41</v>
      </c>
      <c r="C475">
        <f t="shared" si="42"/>
        <v>2022</v>
      </c>
      <c r="D475" t="str">
        <f t="shared" si="43"/>
        <v>May</v>
      </c>
      <c r="E475">
        <f t="shared" si="44"/>
        <v>5</v>
      </c>
      <c r="F475" t="str">
        <f t="shared" si="45"/>
        <v>May 2022</v>
      </c>
      <c r="G475" t="str">
        <f t="shared" si="46"/>
        <v>Q2</v>
      </c>
      <c r="H475">
        <f>IF(AirQuality[[#This Row],[pm25  (ug/m3)]]&gt;15,1,0)</f>
        <v>1</v>
      </c>
      <c r="I475" t="str">
        <f t="shared" si="47"/>
        <v>unsafe</v>
      </c>
      <c r="J475">
        <f>IF(AirQuality[[#This Row],[Air Quality Status]]="unsafe",J474+1,0)</f>
        <v>123</v>
      </c>
    </row>
    <row r="476" spans="1:10" x14ac:dyDescent="0.3">
      <c r="A476" s="1">
        <v>44694</v>
      </c>
      <c r="B476">
        <v>77</v>
      </c>
      <c r="C476">
        <f t="shared" si="42"/>
        <v>2022</v>
      </c>
      <c r="D476" t="str">
        <f t="shared" si="43"/>
        <v>May</v>
      </c>
      <c r="E476">
        <f t="shared" si="44"/>
        <v>5</v>
      </c>
      <c r="F476" t="str">
        <f t="shared" si="45"/>
        <v>May 2022</v>
      </c>
      <c r="G476" t="str">
        <f t="shared" si="46"/>
        <v>Q2</v>
      </c>
      <c r="H476">
        <f>IF(AirQuality[[#This Row],[pm25  (ug/m3)]]&gt;15,1,0)</f>
        <v>1</v>
      </c>
      <c r="I476" t="str">
        <f t="shared" si="47"/>
        <v>unsafe</v>
      </c>
      <c r="J476">
        <f>IF(AirQuality[[#This Row],[Air Quality Status]]="unsafe",J475+1,0)</f>
        <v>124</v>
      </c>
    </row>
    <row r="477" spans="1:10" x14ac:dyDescent="0.3">
      <c r="A477" s="1">
        <v>44695</v>
      </c>
      <c r="B477">
        <v>61</v>
      </c>
      <c r="C477">
        <f t="shared" si="42"/>
        <v>2022</v>
      </c>
      <c r="D477" t="str">
        <f t="shared" si="43"/>
        <v>May</v>
      </c>
      <c r="E477">
        <f t="shared" si="44"/>
        <v>5</v>
      </c>
      <c r="F477" t="str">
        <f t="shared" si="45"/>
        <v>May 2022</v>
      </c>
      <c r="G477" t="str">
        <f t="shared" si="46"/>
        <v>Q2</v>
      </c>
      <c r="H477">
        <f>IF(AirQuality[[#This Row],[pm25  (ug/m3)]]&gt;15,1,0)</f>
        <v>1</v>
      </c>
      <c r="I477" t="str">
        <f t="shared" si="47"/>
        <v>unsafe</v>
      </c>
      <c r="J477">
        <f>IF(AirQuality[[#This Row],[Air Quality Status]]="unsafe",J476+1,0)</f>
        <v>125</v>
      </c>
    </row>
    <row r="478" spans="1:10" x14ac:dyDescent="0.3">
      <c r="A478" s="1">
        <v>44696</v>
      </c>
      <c r="B478">
        <v>68</v>
      </c>
      <c r="C478">
        <f t="shared" si="42"/>
        <v>2022</v>
      </c>
      <c r="D478" t="str">
        <f t="shared" si="43"/>
        <v>May</v>
      </c>
      <c r="E478">
        <f t="shared" si="44"/>
        <v>5</v>
      </c>
      <c r="F478" t="str">
        <f t="shared" si="45"/>
        <v>May 2022</v>
      </c>
      <c r="G478" t="str">
        <f t="shared" si="46"/>
        <v>Q2</v>
      </c>
      <c r="H478">
        <f>IF(AirQuality[[#This Row],[pm25  (ug/m3)]]&gt;15,1,0)</f>
        <v>1</v>
      </c>
      <c r="I478" t="str">
        <f t="shared" si="47"/>
        <v>unsafe</v>
      </c>
      <c r="J478">
        <f>IF(AirQuality[[#This Row],[Air Quality Status]]="unsafe",J477+1,0)</f>
        <v>126</v>
      </c>
    </row>
    <row r="479" spans="1:10" x14ac:dyDescent="0.3">
      <c r="A479" s="1">
        <v>44697</v>
      </c>
      <c r="B479">
        <v>54</v>
      </c>
      <c r="C479">
        <f t="shared" si="42"/>
        <v>2022</v>
      </c>
      <c r="D479" t="str">
        <f t="shared" si="43"/>
        <v>May</v>
      </c>
      <c r="E479">
        <f t="shared" si="44"/>
        <v>5</v>
      </c>
      <c r="F479" t="str">
        <f t="shared" si="45"/>
        <v>May 2022</v>
      </c>
      <c r="G479" t="str">
        <f t="shared" si="46"/>
        <v>Q2</v>
      </c>
      <c r="H479">
        <f>IF(AirQuality[[#This Row],[pm25  (ug/m3)]]&gt;15,1,0)</f>
        <v>1</v>
      </c>
      <c r="I479" t="str">
        <f t="shared" si="47"/>
        <v>unsafe</v>
      </c>
      <c r="J479">
        <f>IF(AirQuality[[#This Row],[Air Quality Status]]="unsafe",J478+1,0)</f>
        <v>127</v>
      </c>
    </row>
    <row r="480" spans="1:10" x14ac:dyDescent="0.3">
      <c r="A480" s="1">
        <v>44698</v>
      </c>
      <c r="B480">
        <v>87</v>
      </c>
      <c r="C480">
        <f t="shared" si="42"/>
        <v>2022</v>
      </c>
      <c r="D480" t="str">
        <f t="shared" si="43"/>
        <v>May</v>
      </c>
      <c r="E480">
        <f t="shared" si="44"/>
        <v>5</v>
      </c>
      <c r="F480" t="str">
        <f t="shared" si="45"/>
        <v>May 2022</v>
      </c>
      <c r="G480" t="str">
        <f t="shared" si="46"/>
        <v>Q2</v>
      </c>
      <c r="H480">
        <f>IF(AirQuality[[#This Row],[pm25  (ug/m3)]]&gt;15,1,0)</f>
        <v>1</v>
      </c>
      <c r="I480" t="str">
        <f t="shared" si="47"/>
        <v>unsafe</v>
      </c>
      <c r="J480">
        <f>IF(AirQuality[[#This Row],[Air Quality Status]]="unsafe",J479+1,0)</f>
        <v>128</v>
      </c>
    </row>
    <row r="481" spans="1:10" x14ac:dyDescent="0.3">
      <c r="A481" s="1">
        <v>44699</v>
      </c>
      <c r="B481">
        <v>58</v>
      </c>
      <c r="C481">
        <f t="shared" si="42"/>
        <v>2022</v>
      </c>
      <c r="D481" t="str">
        <f t="shared" si="43"/>
        <v>May</v>
      </c>
      <c r="E481">
        <f t="shared" si="44"/>
        <v>5</v>
      </c>
      <c r="F481" t="str">
        <f t="shared" si="45"/>
        <v>May 2022</v>
      </c>
      <c r="G481" t="str">
        <f t="shared" si="46"/>
        <v>Q2</v>
      </c>
      <c r="H481">
        <f>IF(AirQuality[[#This Row],[pm25  (ug/m3)]]&gt;15,1,0)</f>
        <v>1</v>
      </c>
      <c r="I481" t="str">
        <f t="shared" si="47"/>
        <v>unsafe</v>
      </c>
      <c r="J481">
        <f>IF(AirQuality[[#This Row],[Air Quality Status]]="unsafe",J480+1,0)</f>
        <v>129</v>
      </c>
    </row>
    <row r="482" spans="1:10" x14ac:dyDescent="0.3">
      <c r="A482" s="1">
        <v>44700</v>
      </c>
      <c r="B482">
        <v>62</v>
      </c>
      <c r="C482">
        <f t="shared" si="42"/>
        <v>2022</v>
      </c>
      <c r="D482" t="str">
        <f t="shared" si="43"/>
        <v>May</v>
      </c>
      <c r="E482">
        <f t="shared" si="44"/>
        <v>5</v>
      </c>
      <c r="F482" t="str">
        <f t="shared" si="45"/>
        <v>May 2022</v>
      </c>
      <c r="G482" t="str">
        <f t="shared" si="46"/>
        <v>Q2</v>
      </c>
      <c r="H482">
        <f>IF(AirQuality[[#This Row],[pm25  (ug/m3)]]&gt;15,1,0)</f>
        <v>1</v>
      </c>
      <c r="I482" t="str">
        <f t="shared" si="47"/>
        <v>unsafe</v>
      </c>
      <c r="J482">
        <f>IF(AirQuality[[#This Row],[Air Quality Status]]="unsafe",J481+1,0)</f>
        <v>130</v>
      </c>
    </row>
    <row r="483" spans="1:10" x14ac:dyDescent="0.3">
      <c r="A483" s="1">
        <v>44701</v>
      </c>
      <c r="B483">
        <v>48</v>
      </c>
      <c r="C483">
        <f t="shared" si="42"/>
        <v>2022</v>
      </c>
      <c r="D483" t="str">
        <f t="shared" si="43"/>
        <v>May</v>
      </c>
      <c r="E483">
        <f t="shared" si="44"/>
        <v>5</v>
      </c>
      <c r="F483" t="str">
        <f t="shared" si="45"/>
        <v>May 2022</v>
      </c>
      <c r="G483" t="str">
        <f t="shared" si="46"/>
        <v>Q2</v>
      </c>
      <c r="H483">
        <f>IF(AirQuality[[#This Row],[pm25  (ug/m3)]]&gt;15,1,0)</f>
        <v>1</v>
      </c>
      <c r="I483" t="str">
        <f t="shared" si="47"/>
        <v>unsafe</v>
      </c>
      <c r="J483">
        <f>IF(AirQuality[[#This Row],[Air Quality Status]]="unsafe",J482+1,0)</f>
        <v>131</v>
      </c>
    </row>
    <row r="484" spans="1:10" x14ac:dyDescent="0.3">
      <c r="A484" s="1">
        <v>44702</v>
      </c>
      <c r="B484">
        <v>70</v>
      </c>
      <c r="C484">
        <f t="shared" si="42"/>
        <v>2022</v>
      </c>
      <c r="D484" t="str">
        <f t="shared" si="43"/>
        <v>May</v>
      </c>
      <c r="E484">
        <f t="shared" si="44"/>
        <v>5</v>
      </c>
      <c r="F484" t="str">
        <f t="shared" si="45"/>
        <v>May 2022</v>
      </c>
      <c r="G484" t="str">
        <f t="shared" si="46"/>
        <v>Q2</v>
      </c>
      <c r="H484">
        <f>IF(AirQuality[[#This Row],[pm25  (ug/m3)]]&gt;15,1,0)</f>
        <v>1</v>
      </c>
      <c r="I484" t="str">
        <f t="shared" si="47"/>
        <v>unsafe</v>
      </c>
      <c r="J484">
        <f>IF(AirQuality[[#This Row],[Air Quality Status]]="unsafe",J483+1,0)</f>
        <v>132</v>
      </c>
    </row>
    <row r="485" spans="1:10" x14ac:dyDescent="0.3">
      <c r="A485" s="1">
        <v>44703</v>
      </c>
      <c r="B485">
        <v>85</v>
      </c>
      <c r="C485">
        <f t="shared" si="42"/>
        <v>2022</v>
      </c>
      <c r="D485" t="str">
        <f t="shared" si="43"/>
        <v>May</v>
      </c>
      <c r="E485">
        <f t="shared" si="44"/>
        <v>5</v>
      </c>
      <c r="F485" t="str">
        <f t="shared" si="45"/>
        <v>May 2022</v>
      </c>
      <c r="G485" t="str">
        <f t="shared" si="46"/>
        <v>Q2</v>
      </c>
      <c r="H485">
        <f>IF(AirQuality[[#This Row],[pm25  (ug/m3)]]&gt;15,1,0)</f>
        <v>1</v>
      </c>
      <c r="I485" t="str">
        <f t="shared" si="47"/>
        <v>unsafe</v>
      </c>
      <c r="J485">
        <f>IF(AirQuality[[#This Row],[Air Quality Status]]="unsafe",J484+1,0)</f>
        <v>133</v>
      </c>
    </row>
    <row r="486" spans="1:10" x14ac:dyDescent="0.3">
      <c r="A486" s="1">
        <v>44704</v>
      </c>
      <c r="B486">
        <v>96</v>
      </c>
      <c r="C486">
        <f t="shared" si="42"/>
        <v>2022</v>
      </c>
      <c r="D486" t="str">
        <f t="shared" si="43"/>
        <v>May</v>
      </c>
      <c r="E486">
        <f t="shared" si="44"/>
        <v>5</v>
      </c>
      <c r="F486" t="str">
        <f t="shared" si="45"/>
        <v>May 2022</v>
      </c>
      <c r="G486" t="str">
        <f t="shared" si="46"/>
        <v>Q2</v>
      </c>
      <c r="H486">
        <f>IF(AirQuality[[#This Row],[pm25  (ug/m3)]]&gt;15,1,0)</f>
        <v>1</v>
      </c>
      <c r="I486" t="str">
        <f t="shared" si="47"/>
        <v>unsafe</v>
      </c>
      <c r="J486">
        <f>IF(AirQuality[[#This Row],[Air Quality Status]]="unsafe",J485+1,0)</f>
        <v>134</v>
      </c>
    </row>
    <row r="487" spans="1:10" x14ac:dyDescent="0.3">
      <c r="A487" s="1">
        <v>44705</v>
      </c>
      <c r="B487">
        <v>62</v>
      </c>
      <c r="C487">
        <f t="shared" si="42"/>
        <v>2022</v>
      </c>
      <c r="D487" t="str">
        <f t="shared" si="43"/>
        <v>May</v>
      </c>
      <c r="E487">
        <f t="shared" si="44"/>
        <v>5</v>
      </c>
      <c r="F487" t="str">
        <f t="shared" si="45"/>
        <v>May 2022</v>
      </c>
      <c r="G487" t="str">
        <f t="shared" si="46"/>
        <v>Q2</v>
      </c>
      <c r="H487">
        <f>IF(AirQuality[[#This Row],[pm25  (ug/m3)]]&gt;15,1,0)</f>
        <v>1</v>
      </c>
      <c r="I487" t="str">
        <f t="shared" si="47"/>
        <v>unsafe</v>
      </c>
      <c r="J487">
        <f>IF(AirQuality[[#This Row],[Air Quality Status]]="unsafe",J486+1,0)</f>
        <v>135</v>
      </c>
    </row>
    <row r="488" spans="1:10" x14ac:dyDescent="0.3">
      <c r="A488" s="1">
        <v>44706</v>
      </c>
      <c r="B488">
        <v>40</v>
      </c>
      <c r="C488">
        <f t="shared" si="42"/>
        <v>2022</v>
      </c>
      <c r="D488" t="str">
        <f t="shared" si="43"/>
        <v>May</v>
      </c>
      <c r="E488">
        <f t="shared" si="44"/>
        <v>5</v>
      </c>
      <c r="F488" t="str">
        <f t="shared" si="45"/>
        <v>May 2022</v>
      </c>
      <c r="G488" t="str">
        <f t="shared" si="46"/>
        <v>Q2</v>
      </c>
      <c r="H488">
        <f>IF(AirQuality[[#This Row],[pm25  (ug/m3)]]&gt;15,1,0)</f>
        <v>1</v>
      </c>
      <c r="I488" t="str">
        <f t="shared" si="47"/>
        <v>unsafe</v>
      </c>
      <c r="J488">
        <f>IF(AirQuality[[#This Row],[Air Quality Status]]="unsafe",J487+1,0)</f>
        <v>136</v>
      </c>
    </row>
    <row r="489" spans="1:10" x14ac:dyDescent="0.3">
      <c r="A489" s="1">
        <v>44707</v>
      </c>
      <c r="B489">
        <v>47</v>
      </c>
      <c r="C489">
        <f t="shared" si="42"/>
        <v>2022</v>
      </c>
      <c r="D489" t="str">
        <f t="shared" si="43"/>
        <v>May</v>
      </c>
      <c r="E489">
        <f t="shared" si="44"/>
        <v>5</v>
      </c>
      <c r="F489" t="str">
        <f t="shared" si="45"/>
        <v>May 2022</v>
      </c>
      <c r="G489" t="str">
        <f t="shared" si="46"/>
        <v>Q2</v>
      </c>
      <c r="H489">
        <f>IF(AirQuality[[#This Row],[pm25  (ug/m3)]]&gt;15,1,0)</f>
        <v>1</v>
      </c>
      <c r="I489" t="str">
        <f t="shared" si="47"/>
        <v>unsafe</v>
      </c>
      <c r="J489">
        <f>IF(AirQuality[[#This Row],[Air Quality Status]]="unsafe",J488+1,0)</f>
        <v>137</v>
      </c>
    </row>
    <row r="490" spans="1:10" x14ac:dyDescent="0.3">
      <c r="A490" s="1">
        <v>44708</v>
      </c>
      <c r="B490">
        <v>66</v>
      </c>
      <c r="C490">
        <f t="shared" si="42"/>
        <v>2022</v>
      </c>
      <c r="D490" t="str">
        <f t="shared" si="43"/>
        <v>May</v>
      </c>
      <c r="E490">
        <f t="shared" si="44"/>
        <v>5</v>
      </c>
      <c r="F490" t="str">
        <f t="shared" si="45"/>
        <v>May 2022</v>
      </c>
      <c r="G490" t="str">
        <f t="shared" si="46"/>
        <v>Q2</v>
      </c>
      <c r="H490">
        <f>IF(AirQuality[[#This Row],[pm25  (ug/m3)]]&gt;15,1,0)</f>
        <v>1</v>
      </c>
      <c r="I490" t="str">
        <f t="shared" si="47"/>
        <v>unsafe</v>
      </c>
      <c r="J490">
        <f>IF(AirQuality[[#This Row],[Air Quality Status]]="unsafe",J489+1,0)</f>
        <v>138</v>
      </c>
    </row>
    <row r="491" spans="1:10" x14ac:dyDescent="0.3">
      <c r="A491" s="1">
        <v>44709</v>
      </c>
      <c r="B491">
        <v>60</v>
      </c>
      <c r="C491">
        <f t="shared" si="42"/>
        <v>2022</v>
      </c>
      <c r="D491" t="str">
        <f t="shared" si="43"/>
        <v>May</v>
      </c>
      <c r="E491">
        <f t="shared" si="44"/>
        <v>5</v>
      </c>
      <c r="F491" t="str">
        <f t="shared" si="45"/>
        <v>May 2022</v>
      </c>
      <c r="G491" t="str">
        <f t="shared" si="46"/>
        <v>Q2</v>
      </c>
      <c r="H491">
        <f>IF(AirQuality[[#This Row],[pm25  (ug/m3)]]&gt;15,1,0)</f>
        <v>1</v>
      </c>
      <c r="I491" t="str">
        <f t="shared" si="47"/>
        <v>unsafe</v>
      </c>
      <c r="J491">
        <f>IF(AirQuality[[#This Row],[Air Quality Status]]="unsafe",J490+1,0)</f>
        <v>139</v>
      </c>
    </row>
    <row r="492" spans="1:10" x14ac:dyDescent="0.3">
      <c r="A492" s="1">
        <v>44710</v>
      </c>
      <c r="B492">
        <v>39</v>
      </c>
      <c r="C492">
        <f t="shared" si="42"/>
        <v>2022</v>
      </c>
      <c r="D492" t="str">
        <f t="shared" si="43"/>
        <v>May</v>
      </c>
      <c r="E492">
        <f t="shared" si="44"/>
        <v>5</v>
      </c>
      <c r="F492" t="str">
        <f t="shared" si="45"/>
        <v>May 2022</v>
      </c>
      <c r="G492" t="str">
        <f t="shared" si="46"/>
        <v>Q2</v>
      </c>
      <c r="H492">
        <f>IF(AirQuality[[#This Row],[pm25  (ug/m3)]]&gt;15,1,0)</f>
        <v>1</v>
      </c>
      <c r="I492" t="str">
        <f t="shared" si="47"/>
        <v>unsafe</v>
      </c>
      <c r="J492">
        <f>IF(AirQuality[[#This Row],[Air Quality Status]]="unsafe",J491+1,0)</f>
        <v>140</v>
      </c>
    </row>
    <row r="493" spans="1:10" x14ac:dyDescent="0.3">
      <c r="A493" s="1">
        <v>44711</v>
      </c>
      <c r="B493">
        <v>57</v>
      </c>
      <c r="C493">
        <f t="shared" si="42"/>
        <v>2022</v>
      </c>
      <c r="D493" t="str">
        <f t="shared" si="43"/>
        <v>May</v>
      </c>
      <c r="E493">
        <f t="shared" si="44"/>
        <v>5</v>
      </c>
      <c r="F493" t="str">
        <f t="shared" si="45"/>
        <v>May 2022</v>
      </c>
      <c r="G493" t="str">
        <f t="shared" si="46"/>
        <v>Q2</v>
      </c>
      <c r="H493">
        <f>IF(AirQuality[[#This Row],[pm25  (ug/m3)]]&gt;15,1,0)</f>
        <v>1</v>
      </c>
      <c r="I493" t="str">
        <f t="shared" si="47"/>
        <v>unsafe</v>
      </c>
      <c r="J493">
        <f>IF(AirQuality[[#This Row],[Air Quality Status]]="unsafe",J492+1,0)</f>
        <v>141</v>
      </c>
    </row>
    <row r="494" spans="1:10" x14ac:dyDescent="0.3">
      <c r="A494" s="1">
        <v>44712</v>
      </c>
      <c r="B494">
        <v>57</v>
      </c>
      <c r="C494">
        <f t="shared" si="42"/>
        <v>2022</v>
      </c>
      <c r="D494" t="str">
        <f t="shared" si="43"/>
        <v>May</v>
      </c>
      <c r="E494">
        <f t="shared" si="44"/>
        <v>5</v>
      </c>
      <c r="F494" t="str">
        <f t="shared" si="45"/>
        <v>May 2022</v>
      </c>
      <c r="G494" t="str">
        <f t="shared" si="46"/>
        <v>Q2</v>
      </c>
      <c r="H494">
        <f>IF(AirQuality[[#This Row],[pm25  (ug/m3)]]&gt;15,1,0)</f>
        <v>1</v>
      </c>
      <c r="I494" t="str">
        <f t="shared" si="47"/>
        <v>unsafe</v>
      </c>
      <c r="J494">
        <f>IF(AirQuality[[#This Row],[Air Quality Status]]="unsafe",J493+1,0)</f>
        <v>142</v>
      </c>
    </row>
    <row r="495" spans="1:10" x14ac:dyDescent="0.3">
      <c r="A495" s="1">
        <v>44713</v>
      </c>
      <c r="B495">
        <v>65</v>
      </c>
      <c r="C495">
        <f t="shared" si="42"/>
        <v>2022</v>
      </c>
      <c r="D495" t="str">
        <f t="shared" si="43"/>
        <v>June</v>
      </c>
      <c r="E495">
        <f t="shared" si="44"/>
        <v>6</v>
      </c>
      <c r="F495" t="str">
        <f t="shared" si="45"/>
        <v>Jun 2022</v>
      </c>
      <c r="G495" t="str">
        <f t="shared" si="46"/>
        <v>Q2</v>
      </c>
      <c r="H495">
        <f>IF(AirQuality[[#This Row],[pm25  (ug/m3)]]&gt;15,1,0)</f>
        <v>1</v>
      </c>
      <c r="I495" t="str">
        <f t="shared" si="47"/>
        <v>unsafe</v>
      </c>
      <c r="J495">
        <f>IF(AirQuality[[#This Row],[Air Quality Status]]="unsafe",J494+1,0)</f>
        <v>143</v>
      </c>
    </row>
    <row r="496" spans="1:10" x14ac:dyDescent="0.3">
      <c r="A496" s="1">
        <v>44714</v>
      </c>
      <c r="B496">
        <v>47</v>
      </c>
      <c r="C496">
        <f t="shared" si="42"/>
        <v>2022</v>
      </c>
      <c r="D496" t="str">
        <f t="shared" si="43"/>
        <v>June</v>
      </c>
      <c r="E496">
        <f t="shared" si="44"/>
        <v>6</v>
      </c>
      <c r="F496" t="str">
        <f t="shared" si="45"/>
        <v>Jun 2022</v>
      </c>
      <c r="G496" t="str">
        <f t="shared" si="46"/>
        <v>Q2</v>
      </c>
      <c r="H496">
        <f>IF(AirQuality[[#This Row],[pm25  (ug/m3)]]&gt;15,1,0)</f>
        <v>1</v>
      </c>
      <c r="I496" t="str">
        <f t="shared" si="47"/>
        <v>unsafe</v>
      </c>
      <c r="J496">
        <f>IF(AirQuality[[#This Row],[Air Quality Status]]="unsafe",J495+1,0)</f>
        <v>144</v>
      </c>
    </row>
    <row r="497" spans="1:10" x14ac:dyDescent="0.3">
      <c r="A497" s="1">
        <v>44715</v>
      </c>
      <c r="B497">
        <v>77</v>
      </c>
      <c r="C497">
        <f t="shared" si="42"/>
        <v>2022</v>
      </c>
      <c r="D497" t="str">
        <f t="shared" si="43"/>
        <v>June</v>
      </c>
      <c r="E497">
        <f t="shared" si="44"/>
        <v>6</v>
      </c>
      <c r="F497" t="str">
        <f t="shared" si="45"/>
        <v>Jun 2022</v>
      </c>
      <c r="G497" t="str">
        <f t="shared" si="46"/>
        <v>Q2</v>
      </c>
      <c r="H497">
        <f>IF(AirQuality[[#This Row],[pm25  (ug/m3)]]&gt;15,1,0)</f>
        <v>1</v>
      </c>
      <c r="I497" t="str">
        <f t="shared" si="47"/>
        <v>unsafe</v>
      </c>
      <c r="J497">
        <f>IF(AirQuality[[#This Row],[Air Quality Status]]="unsafe",J496+1,0)</f>
        <v>145</v>
      </c>
    </row>
    <row r="498" spans="1:10" x14ac:dyDescent="0.3">
      <c r="A498" s="1">
        <v>44716</v>
      </c>
      <c r="B498">
        <v>92</v>
      </c>
      <c r="C498">
        <f t="shared" si="42"/>
        <v>2022</v>
      </c>
      <c r="D498" t="str">
        <f t="shared" si="43"/>
        <v>June</v>
      </c>
      <c r="E498">
        <f t="shared" si="44"/>
        <v>6</v>
      </c>
      <c r="F498" t="str">
        <f t="shared" si="45"/>
        <v>Jun 2022</v>
      </c>
      <c r="G498" t="str">
        <f t="shared" si="46"/>
        <v>Q2</v>
      </c>
      <c r="H498">
        <f>IF(AirQuality[[#This Row],[pm25  (ug/m3)]]&gt;15,1,0)</f>
        <v>1</v>
      </c>
      <c r="I498" t="str">
        <f t="shared" si="47"/>
        <v>unsafe</v>
      </c>
      <c r="J498">
        <f>IF(AirQuality[[#This Row],[Air Quality Status]]="unsafe",J497+1,0)</f>
        <v>146</v>
      </c>
    </row>
    <row r="499" spans="1:10" x14ac:dyDescent="0.3">
      <c r="A499" s="1">
        <v>44717</v>
      </c>
      <c r="B499">
        <v>60</v>
      </c>
      <c r="C499">
        <f t="shared" si="42"/>
        <v>2022</v>
      </c>
      <c r="D499" t="str">
        <f t="shared" si="43"/>
        <v>June</v>
      </c>
      <c r="E499">
        <f t="shared" si="44"/>
        <v>6</v>
      </c>
      <c r="F499" t="str">
        <f t="shared" si="45"/>
        <v>Jun 2022</v>
      </c>
      <c r="G499" t="str">
        <f t="shared" si="46"/>
        <v>Q2</v>
      </c>
      <c r="H499">
        <f>IF(AirQuality[[#This Row],[pm25  (ug/m3)]]&gt;15,1,0)</f>
        <v>1</v>
      </c>
      <c r="I499" t="str">
        <f t="shared" si="47"/>
        <v>unsafe</v>
      </c>
      <c r="J499">
        <f>IF(AirQuality[[#This Row],[Air Quality Status]]="unsafe",J498+1,0)</f>
        <v>147</v>
      </c>
    </row>
    <row r="500" spans="1:10" x14ac:dyDescent="0.3">
      <c r="A500" s="1">
        <v>44718</v>
      </c>
      <c r="B500">
        <v>76</v>
      </c>
      <c r="C500">
        <f t="shared" si="42"/>
        <v>2022</v>
      </c>
      <c r="D500" t="str">
        <f t="shared" si="43"/>
        <v>June</v>
      </c>
      <c r="E500">
        <f t="shared" si="44"/>
        <v>6</v>
      </c>
      <c r="F500" t="str">
        <f t="shared" si="45"/>
        <v>Jun 2022</v>
      </c>
      <c r="G500" t="str">
        <f t="shared" si="46"/>
        <v>Q2</v>
      </c>
      <c r="H500">
        <f>IF(AirQuality[[#This Row],[pm25  (ug/m3)]]&gt;15,1,0)</f>
        <v>1</v>
      </c>
      <c r="I500" t="str">
        <f t="shared" si="47"/>
        <v>unsafe</v>
      </c>
      <c r="J500">
        <f>IF(AirQuality[[#This Row],[Air Quality Status]]="unsafe",J499+1,0)</f>
        <v>148</v>
      </c>
    </row>
    <row r="501" spans="1:10" x14ac:dyDescent="0.3">
      <c r="A501" s="1">
        <v>44719</v>
      </c>
      <c r="B501">
        <v>97</v>
      </c>
      <c r="C501">
        <f t="shared" si="42"/>
        <v>2022</v>
      </c>
      <c r="D501" t="str">
        <f t="shared" si="43"/>
        <v>June</v>
      </c>
      <c r="E501">
        <f t="shared" si="44"/>
        <v>6</v>
      </c>
      <c r="F501" t="str">
        <f t="shared" si="45"/>
        <v>Jun 2022</v>
      </c>
      <c r="G501" t="str">
        <f t="shared" si="46"/>
        <v>Q2</v>
      </c>
      <c r="H501">
        <f>IF(AirQuality[[#This Row],[pm25  (ug/m3)]]&gt;15,1,0)</f>
        <v>1</v>
      </c>
      <c r="I501" t="str">
        <f t="shared" si="47"/>
        <v>unsafe</v>
      </c>
      <c r="J501">
        <f>IF(AirQuality[[#This Row],[Air Quality Status]]="unsafe",J500+1,0)</f>
        <v>149</v>
      </c>
    </row>
    <row r="502" spans="1:10" x14ac:dyDescent="0.3">
      <c r="A502" s="1">
        <v>44720</v>
      </c>
      <c r="B502">
        <v>81</v>
      </c>
      <c r="C502">
        <f t="shared" si="42"/>
        <v>2022</v>
      </c>
      <c r="D502" t="str">
        <f t="shared" si="43"/>
        <v>June</v>
      </c>
      <c r="E502">
        <f t="shared" si="44"/>
        <v>6</v>
      </c>
      <c r="F502" t="str">
        <f t="shared" si="45"/>
        <v>Jun 2022</v>
      </c>
      <c r="G502" t="str">
        <f t="shared" si="46"/>
        <v>Q2</v>
      </c>
      <c r="H502">
        <f>IF(AirQuality[[#This Row],[pm25  (ug/m3)]]&gt;15,1,0)</f>
        <v>1</v>
      </c>
      <c r="I502" t="str">
        <f t="shared" si="47"/>
        <v>unsafe</v>
      </c>
      <c r="J502">
        <f>IF(AirQuality[[#This Row],[Air Quality Status]]="unsafe",J501+1,0)</f>
        <v>150</v>
      </c>
    </row>
    <row r="503" spans="1:10" x14ac:dyDescent="0.3">
      <c r="A503" s="1">
        <v>44721</v>
      </c>
      <c r="B503">
        <v>61</v>
      </c>
      <c r="C503">
        <f t="shared" si="42"/>
        <v>2022</v>
      </c>
      <c r="D503" t="str">
        <f t="shared" si="43"/>
        <v>June</v>
      </c>
      <c r="E503">
        <f t="shared" si="44"/>
        <v>6</v>
      </c>
      <c r="F503" t="str">
        <f t="shared" si="45"/>
        <v>Jun 2022</v>
      </c>
      <c r="G503" t="str">
        <f t="shared" si="46"/>
        <v>Q2</v>
      </c>
      <c r="H503">
        <f>IF(AirQuality[[#This Row],[pm25  (ug/m3)]]&gt;15,1,0)</f>
        <v>1</v>
      </c>
      <c r="I503" t="str">
        <f t="shared" si="47"/>
        <v>unsafe</v>
      </c>
      <c r="J503">
        <f>IF(AirQuality[[#This Row],[Air Quality Status]]="unsafe",J502+1,0)</f>
        <v>151</v>
      </c>
    </row>
    <row r="504" spans="1:10" x14ac:dyDescent="0.3">
      <c r="A504" s="1">
        <v>44722</v>
      </c>
      <c r="B504">
        <v>81</v>
      </c>
      <c r="C504">
        <f t="shared" si="42"/>
        <v>2022</v>
      </c>
      <c r="D504" t="str">
        <f t="shared" si="43"/>
        <v>June</v>
      </c>
      <c r="E504">
        <f t="shared" si="44"/>
        <v>6</v>
      </c>
      <c r="F504" t="str">
        <f t="shared" si="45"/>
        <v>Jun 2022</v>
      </c>
      <c r="G504" t="str">
        <f t="shared" si="46"/>
        <v>Q2</v>
      </c>
      <c r="H504">
        <f>IF(AirQuality[[#This Row],[pm25  (ug/m3)]]&gt;15,1,0)</f>
        <v>1</v>
      </c>
      <c r="I504" t="str">
        <f t="shared" si="47"/>
        <v>unsafe</v>
      </c>
      <c r="J504">
        <f>IF(AirQuality[[#This Row],[Air Quality Status]]="unsafe",J503+1,0)</f>
        <v>152</v>
      </c>
    </row>
    <row r="505" spans="1:10" x14ac:dyDescent="0.3">
      <c r="A505" s="1">
        <v>44723</v>
      </c>
      <c r="B505">
        <v>79</v>
      </c>
      <c r="C505">
        <f t="shared" si="42"/>
        <v>2022</v>
      </c>
      <c r="D505" t="str">
        <f t="shared" si="43"/>
        <v>June</v>
      </c>
      <c r="E505">
        <f t="shared" si="44"/>
        <v>6</v>
      </c>
      <c r="F505" t="str">
        <f t="shared" si="45"/>
        <v>Jun 2022</v>
      </c>
      <c r="G505" t="str">
        <f t="shared" si="46"/>
        <v>Q2</v>
      </c>
      <c r="H505">
        <f>IF(AirQuality[[#This Row],[pm25  (ug/m3)]]&gt;15,1,0)</f>
        <v>1</v>
      </c>
      <c r="I505" t="str">
        <f t="shared" si="47"/>
        <v>unsafe</v>
      </c>
      <c r="J505">
        <f>IF(AirQuality[[#This Row],[Air Quality Status]]="unsafe",J504+1,0)</f>
        <v>153</v>
      </c>
    </row>
    <row r="506" spans="1:10" x14ac:dyDescent="0.3">
      <c r="A506" s="1">
        <v>44724</v>
      </c>
      <c r="B506">
        <v>72</v>
      </c>
      <c r="C506">
        <f t="shared" si="42"/>
        <v>2022</v>
      </c>
      <c r="D506" t="str">
        <f t="shared" si="43"/>
        <v>June</v>
      </c>
      <c r="E506">
        <f t="shared" si="44"/>
        <v>6</v>
      </c>
      <c r="F506" t="str">
        <f t="shared" si="45"/>
        <v>Jun 2022</v>
      </c>
      <c r="G506" t="str">
        <f t="shared" si="46"/>
        <v>Q2</v>
      </c>
      <c r="H506">
        <f>IF(AirQuality[[#This Row],[pm25  (ug/m3)]]&gt;15,1,0)</f>
        <v>1</v>
      </c>
      <c r="I506" t="str">
        <f t="shared" si="47"/>
        <v>unsafe</v>
      </c>
      <c r="J506">
        <f>IF(AirQuality[[#This Row],[Air Quality Status]]="unsafe",J505+1,0)</f>
        <v>154</v>
      </c>
    </row>
    <row r="507" spans="1:10" x14ac:dyDescent="0.3">
      <c r="A507" s="1">
        <v>44725</v>
      </c>
      <c r="B507">
        <v>59</v>
      </c>
      <c r="C507">
        <f t="shared" si="42"/>
        <v>2022</v>
      </c>
      <c r="D507" t="str">
        <f t="shared" si="43"/>
        <v>June</v>
      </c>
      <c r="E507">
        <f t="shared" si="44"/>
        <v>6</v>
      </c>
      <c r="F507" t="str">
        <f t="shared" si="45"/>
        <v>Jun 2022</v>
      </c>
      <c r="G507" t="str">
        <f t="shared" si="46"/>
        <v>Q2</v>
      </c>
      <c r="H507">
        <f>IF(AirQuality[[#This Row],[pm25  (ug/m3)]]&gt;15,1,0)</f>
        <v>1</v>
      </c>
      <c r="I507" t="str">
        <f t="shared" si="47"/>
        <v>unsafe</v>
      </c>
      <c r="J507">
        <f>IF(AirQuality[[#This Row],[Air Quality Status]]="unsafe",J506+1,0)</f>
        <v>155</v>
      </c>
    </row>
    <row r="508" spans="1:10" x14ac:dyDescent="0.3">
      <c r="A508" s="1">
        <v>44726</v>
      </c>
      <c r="B508">
        <v>54</v>
      </c>
      <c r="C508">
        <f t="shared" si="42"/>
        <v>2022</v>
      </c>
      <c r="D508" t="str">
        <f t="shared" si="43"/>
        <v>June</v>
      </c>
      <c r="E508">
        <f t="shared" si="44"/>
        <v>6</v>
      </c>
      <c r="F508" t="str">
        <f t="shared" si="45"/>
        <v>Jun 2022</v>
      </c>
      <c r="G508" t="str">
        <f t="shared" si="46"/>
        <v>Q2</v>
      </c>
      <c r="H508">
        <f>IF(AirQuality[[#This Row],[pm25  (ug/m3)]]&gt;15,1,0)</f>
        <v>1</v>
      </c>
      <c r="I508" t="str">
        <f t="shared" si="47"/>
        <v>unsafe</v>
      </c>
      <c r="J508">
        <f>IF(AirQuality[[#This Row],[Air Quality Status]]="unsafe",J507+1,0)</f>
        <v>156</v>
      </c>
    </row>
    <row r="509" spans="1:10" x14ac:dyDescent="0.3">
      <c r="A509" s="1">
        <v>44727</v>
      </c>
      <c r="B509">
        <v>61</v>
      </c>
      <c r="C509">
        <f t="shared" si="42"/>
        <v>2022</v>
      </c>
      <c r="D509" t="str">
        <f t="shared" si="43"/>
        <v>June</v>
      </c>
      <c r="E509">
        <f t="shared" si="44"/>
        <v>6</v>
      </c>
      <c r="F509" t="str">
        <f t="shared" si="45"/>
        <v>Jun 2022</v>
      </c>
      <c r="G509" t="str">
        <f t="shared" si="46"/>
        <v>Q2</v>
      </c>
      <c r="H509">
        <f>IF(AirQuality[[#This Row],[pm25  (ug/m3)]]&gt;15,1,0)</f>
        <v>1</v>
      </c>
      <c r="I509" t="str">
        <f t="shared" si="47"/>
        <v>unsafe</v>
      </c>
      <c r="J509">
        <f>IF(AirQuality[[#This Row],[Air Quality Status]]="unsafe",J508+1,0)</f>
        <v>157</v>
      </c>
    </row>
    <row r="510" spans="1:10" x14ac:dyDescent="0.3">
      <c r="A510" s="1">
        <v>44728</v>
      </c>
      <c r="B510">
        <v>78</v>
      </c>
      <c r="C510">
        <f t="shared" si="42"/>
        <v>2022</v>
      </c>
      <c r="D510" t="str">
        <f t="shared" si="43"/>
        <v>June</v>
      </c>
      <c r="E510">
        <f t="shared" si="44"/>
        <v>6</v>
      </c>
      <c r="F510" t="str">
        <f t="shared" si="45"/>
        <v>Jun 2022</v>
      </c>
      <c r="G510" t="str">
        <f t="shared" si="46"/>
        <v>Q2</v>
      </c>
      <c r="H510">
        <f>IF(AirQuality[[#This Row],[pm25  (ug/m3)]]&gt;15,1,0)</f>
        <v>1</v>
      </c>
      <c r="I510" t="str">
        <f t="shared" si="47"/>
        <v>unsafe</v>
      </c>
      <c r="J510">
        <f>IF(AirQuality[[#This Row],[Air Quality Status]]="unsafe",J509+1,0)</f>
        <v>158</v>
      </c>
    </row>
    <row r="511" spans="1:10" x14ac:dyDescent="0.3">
      <c r="A511" s="1">
        <v>44729</v>
      </c>
      <c r="B511">
        <v>70</v>
      </c>
      <c r="C511">
        <f t="shared" si="42"/>
        <v>2022</v>
      </c>
      <c r="D511" t="str">
        <f t="shared" si="43"/>
        <v>June</v>
      </c>
      <c r="E511">
        <f t="shared" si="44"/>
        <v>6</v>
      </c>
      <c r="F511" t="str">
        <f t="shared" si="45"/>
        <v>Jun 2022</v>
      </c>
      <c r="G511" t="str">
        <f t="shared" si="46"/>
        <v>Q2</v>
      </c>
      <c r="H511">
        <f>IF(AirQuality[[#This Row],[pm25  (ug/m3)]]&gt;15,1,0)</f>
        <v>1</v>
      </c>
      <c r="I511" t="str">
        <f t="shared" si="47"/>
        <v>unsafe</v>
      </c>
      <c r="J511">
        <f>IF(AirQuality[[#This Row],[Air Quality Status]]="unsafe",J510+1,0)</f>
        <v>159</v>
      </c>
    </row>
    <row r="512" spans="1:10" x14ac:dyDescent="0.3">
      <c r="A512" s="1">
        <v>44730</v>
      </c>
      <c r="B512">
        <v>66</v>
      </c>
      <c r="C512">
        <f t="shared" si="42"/>
        <v>2022</v>
      </c>
      <c r="D512" t="str">
        <f t="shared" si="43"/>
        <v>June</v>
      </c>
      <c r="E512">
        <f t="shared" si="44"/>
        <v>6</v>
      </c>
      <c r="F512" t="str">
        <f t="shared" si="45"/>
        <v>Jun 2022</v>
      </c>
      <c r="G512" t="str">
        <f t="shared" si="46"/>
        <v>Q2</v>
      </c>
      <c r="H512">
        <f>IF(AirQuality[[#This Row],[pm25  (ug/m3)]]&gt;15,1,0)</f>
        <v>1</v>
      </c>
      <c r="I512" t="str">
        <f t="shared" si="47"/>
        <v>unsafe</v>
      </c>
      <c r="J512">
        <f>IF(AirQuality[[#This Row],[Air Quality Status]]="unsafe",J511+1,0)</f>
        <v>160</v>
      </c>
    </row>
    <row r="513" spans="1:10" x14ac:dyDescent="0.3">
      <c r="A513" s="1">
        <v>44731</v>
      </c>
      <c r="B513">
        <v>69</v>
      </c>
      <c r="C513">
        <f t="shared" si="42"/>
        <v>2022</v>
      </c>
      <c r="D513" t="str">
        <f t="shared" si="43"/>
        <v>June</v>
      </c>
      <c r="E513">
        <f t="shared" si="44"/>
        <v>6</v>
      </c>
      <c r="F513" t="str">
        <f t="shared" si="45"/>
        <v>Jun 2022</v>
      </c>
      <c r="G513" t="str">
        <f t="shared" si="46"/>
        <v>Q2</v>
      </c>
      <c r="H513">
        <f>IF(AirQuality[[#This Row],[pm25  (ug/m3)]]&gt;15,1,0)</f>
        <v>1</v>
      </c>
      <c r="I513" t="str">
        <f t="shared" si="47"/>
        <v>unsafe</v>
      </c>
      <c r="J513">
        <f>IF(AirQuality[[#This Row],[Air Quality Status]]="unsafe",J512+1,0)</f>
        <v>161</v>
      </c>
    </row>
    <row r="514" spans="1:10" x14ac:dyDescent="0.3">
      <c r="A514" s="1">
        <v>44732</v>
      </c>
      <c r="B514">
        <v>41</v>
      </c>
      <c r="C514">
        <f t="shared" ref="C514:C577" si="48">YEAR(A514)</f>
        <v>2022</v>
      </c>
      <c r="D514" t="str">
        <f t="shared" ref="D514:D577" si="49">TEXT(A514,"mmmm")</f>
        <v>June</v>
      </c>
      <c r="E514">
        <f t="shared" ref="E514:E577" si="50">MONTH(A514)</f>
        <v>6</v>
      </c>
      <c r="F514" t="str">
        <f t="shared" ref="F514:F577" si="51">TEXT(A514,"mmm yyyy")</f>
        <v>Jun 2022</v>
      </c>
      <c r="G514" t="str">
        <f t="shared" ref="G514:G577" si="52">"Q"&amp;ROUNDUP(MONTH(A514)/3,0)</f>
        <v>Q2</v>
      </c>
      <c r="H514">
        <f>IF(AirQuality[[#This Row],[pm25  (ug/m3)]]&gt;15,1,0)</f>
        <v>1</v>
      </c>
      <c r="I514" t="str">
        <f t="shared" ref="I514:I577" si="53">IF(B514&gt;15,"unsafe","safe")</f>
        <v>unsafe</v>
      </c>
      <c r="J514">
        <f>IF(AirQuality[[#This Row],[Air Quality Status]]="unsafe",J513+1,0)</f>
        <v>162</v>
      </c>
    </row>
    <row r="515" spans="1:10" x14ac:dyDescent="0.3">
      <c r="A515" s="1">
        <v>44733</v>
      </c>
      <c r="B515">
        <v>42</v>
      </c>
      <c r="C515">
        <f t="shared" si="48"/>
        <v>2022</v>
      </c>
      <c r="D515" t="str">
        <f t="shared" si="49"/>
        <v>June</v>
      </c>
      <c r="E515">
        <f t="shared" si="50"/>
        <v>6</v>
      </c>
      <c r="F515" t="str">
        <f t="shared" si="51"/>
        <v>Jun 2022</v>
      </c>
      <c r="G515" t="str">
        <f t="shared" si="52"/>
        <v>Q2</v>
      </c>
      <c r="H515">
        <f>IF(AirQuality[[#This Row],[pm25  (ug/m3)]]&gt;15,1,0)</f>
        <v>1</v>
      </c>
      <c r="I515" t="str">
        <f t="shared" si="53"/>
        <v>unsafe</v>
      </c>
      <c r="J515">
        <f>IF(AirQuality[[#This Row],[Air Quality Status]]="unsafe",J514+1,0)</f>
        <v>163</v>
      </c>
    </row>
    <row r="516" spans="1:10" x14ac:dyDescent="0.3">
      <c r="A516" s="1">
        <v>44734</v>
      </c>
      <c r="B516">
        <v>63</v>
      </c>
      <c r="C516">
        <f t="shared" si="48"/>
        <v>2022</v>
      </c>
      <c r="D516" t="str">
        <f t="shared" si="49"/>
        <v>June</v>
      </c>
      <c r="E516">
        <f t="shared" si="50"/>
        <v>6</v>
      </c>
      <c r="F516" t="str">
        <f t="shared" si="51"/>
        <v>Jun 2022</v>
      </c>
      <c r="G516" t="str">
        <f t="shared" si="52"/>
        <v>Q2</v>
      </c>
      <c r="H516">
        <f>IF(AirQuality[[#This Row],[pm25  (ug/m3)]]&gt;15,1,0)</f>
        <v>1</v>
      </c>
      <c r="I516" t="str">
        <f t="shared" si="53"/>
        <v>unsafe</v>
      </c>
      <c r="J516">
        <f>IF(AirQuality[[#This Row],[Air Quality Status]]="unsafe",J515+1,0)</f>
        <v>164</v>
      </c>
    </row>
    <row r="517" spans="1:10" x14ac:dyDescent="0.3">
      <c r="A517" s="1">
        <v>44735</v>
      </c>
      <c r="B517">
        <v>41</v>
      </c>
      <c r="C517">
        <f t="shared" si="48"/>
        <v>2022</v>
      </c>
      <c r="D517" t="str">
        <f t="shared" si="49"/>
        <v>June</v>
      </c>
      <c r="E517">
        <f t="shared" si="50"/>
        <v>6</v>
      </c>
      <c r="F517" t="str">
        <f t="shared" si="51"/>
        <v>Jun 2022</v>
      </c>
      <c r="G517" t="str">
        <f t="shared" si="52"/>
        <v>Q2</v>
      </c>
      <c r="H517">
        <f>IF(AirQuality[[#This Row],[pm25  (ug/m3)]]&gt;15,1,0)</f>
        <v>1</v>
      </c>
      <c r="I517" t="str">
        <f t="shared" si="53"/>
        <v>unsafe</v>
      </c>
      <c r="J517">
        <f>IF(AirQuality[[#This Row],[Air Quality Status]]="unsafe",J516+1,0)</f>
        <v>165</v>
      </c>
    </row>
    <row r="518" spans="1:10" x14ac:dyDescent="0.3">
      <c r="A518" s="1">
        <v>44736</v>
      </c>
      <c r="B518">
        <v>60</v>
      </c>
      <c r="C518">
        <f t="shared" si="48"/>
        <v>2022</v>
      </c>
      <c r="D518" t="str">
        <f t="shared" si="49"/>
        <v>June</v>
      </c>
      <c r="E518">
        <f t="shared" si="50"/>
        <v>6</v>
      </c>
      <c r="F518" t="str">
        <f t="shared" si="51"/>
        <v>Jun 2022</v>
      </c>
      <c r="G518" t="str">
        <f t="shared" si="52"/>
        <v>Q2</v>
      </c>
      <c r="H518">
        <f>IF(AirQuality[[#This Row],[pm25  (ug/m3)]]&gt;15,1,0)</f>
        <v>1</v>
      </c>
      <c r="I518" t="str">
        <f t="shared" si="53"/>
        <v>unsafe</v>
      </c>
      <c r="J518">
        <f>IF(AirQuality[[#This Row],[Air Quality Status]]="unsafe",J517+1,0)</f>
        <v>166</v>
      </c>
    </row>
    <row r="519" spans="1:10" x14ac:dyDescent="0.3">
      <c r="A519" s="1">
        <v>44737</v>
      </c>
      <c r="B519">
        <v>101</v>
      </c>
      <c r="C519">
        <f t="shared" si="48"/>
        <v>2022</v>
      </c>
      <c r="D519" t="str">
        <f t="shared" si="49"/>
        <v>June</v>
      </c>
      <c r="E519">
        <f t="shared" si="50"/>
        <v>6</v>
      </c>
      <c r="F519" t="str">
        <f t="shared" si="51"/>
        <v>Jun 2022</v>
      </c>
      <c r="G519" t="str">
        <f t="shared" si="52"/>
        <v>Q2</v>
      </c>
      <c r="H519">
        <f>IF(AirQuality[[#This Row],[pm25  (ug/m3)]]&gt;15,1,0)</f>
        <v>1</v>
      </c>
      <c r="I519" t="str">
        <f t="shared" si="53"/>
        <v>unsafe</v>
      </c>
      <c r="J519">
        <f>IF(AirQuality[[#This Row],[Air Quality Status]]="unsafe",J518+1,0)</f>
        <v>167</v>
      </c>
    </row>
    <row r="520" spans="1:10" x14ac:dyDescent="0.3">
      <c r="A520" s="1">
        <v>44738</v>
      </c>
      <c r="B520">
        <v>55</v>
      </c>
      <c r="C520">
        <f t="shared" si="48"/>
        <v>2022</v>
      </c>
      <c r="D520" t="str">
        <f t="shared" si="49"/>
        <v>June</v>
      </c>
      <c r="E520">
        <f t="shared" si="50"/>
        <v>6</v>
      </c>
      <c r="F520" t="str">
        <f t="shared" si="51"/>
        <v>Jun 2022</v>
      </c>
      <c r="G520" t="str">
        <f t="shared" si="52"/>
        <v>Q2</v>
      </c>
      <c r="H520">
        <f>IF(AirQuality[[#This Row],[pm25  (ug/m3)]]&gt;15,1,0)</f>
        <v>1</v>
      </c>
      <c r="I520" t="str">
        <f t="shared" si="53"/>
        <v>unsafe</v>
      </c>
      <c r="J520">
        <f>IF(AirQuality[[#This Row],[Air Quality Status]]="unsafe",J519+1,0)</f>
        <v>168</v>
      </c>
    </row>
    <row r="521" spans="1:10" x14ac:dyDescent="0.3">
      <c r="A521" s="1">
        <v>44739</v>
      </c>
      <c r="B521">
        <v>59</v>
      </c>
      <c r="C521">
        <f t="shared" si="48"/>
        <v>2022</v>
      </c>
      <c r="D521" t="str">
        <f t="shared" si="49"/>
        <v>June</v>
      </c>
      <c r="E521">
        <f t="shared" si="50"/>
        <v>6</v>
      </c>
      <c r="F521" t="str">
        <f t="shared" si="51"/>
        <v>Jun 2022</v>
      </c>
      <c r="G521" t="str">
        <f t="shared" si="52"/>
        <v>Q2</v>
      </c>
      <c r="H521">
        <f>IF(AirQuality[[#This Row],[pm25  (ug/m3)]]&gt;15,1,0)</f>
        <v>1</v>
      </c>
      <c r="I521" t="str">
        <f t="shared" si="53"/>
        <v>unsafe</v>
      </c>
      <c r="J521">
        <f>IF(AirQuality[[#This Row],[Air Quality Status]]="unsafe",J520+1,0)</f>
        <v>169</v>
      </c>
    </row>
    <row r="522" spans="1:10" x14ac:dyDescent="0.3">
      <c r="A522" s="1">
        <v>44740</v>
      </c>
      <c r="B522">
        <v>40</v>
      </c>
      <c r="C522">
        <f t="shared" si="48"/>
        <v>2022</v>
      </c>
      <c r="D522" t="str">
        <f t="shared" si="49"/>
        <v>June</v>
      </c>
      <c r="E522">
        <f t="shared" si="50"/>
        <v>6</v>
      </c>
      <c r="F522" t="str">
        <f t="shared" si="51"/>
        <v>Jun 2022</v>
      </c>
      <c r="G522" t="str">
        <f t="shared" si="52"/>
        <v>Q2</v>
      </c>
      <c r="H522">
        <f>IF(AirQuality[[#This Row],[pm25  (ug/m3)]]&gt;15,1,0)</f>
        <v>1</v>
      </c>
      <c r="I522" t="str">
        <f t="shared" si="53"/>
        <v>unsafe</v>
      </c>
      <c r="J522">
        <f>IF(AirQuality[[#This Row],[Air Quality Status]]="unsafe",J521+1,0)</f>
        <v>170</v>
      </c>
    </row>
    <row r="523" spans="1:10" x14ac:dyDescent="0.3">
      <c r="A523" s="1">
        <v>44741</v>
      </c>
      <c r="B523">
        <v>49</v>
      </c>
      <c r="C523">
        <f t="shared" si="48"/>
        <v>2022</v>
      </c>
      <c r="D523" t="str">
        <f t="shared" si="49"/>
        <v>June</v>
      </c>
      <c r="E523">
        <f t="shared" si="50"/>
        <v>6</v>
      </c>
      <c r="F523" t="str">
        <f t="shared" si="51"/>
        <v>Jun 2022</v>
      </c>
      <c r="G523" t="str">
        <f t="shared" si="52"/>
        <v>Q2</v>
      </c>
      <c r="H523">
        <f>IF(AirQuality[[#This Row],[pm25  (ug/m3)]]&gt;15,1,0)</f>
        <v>1</v>
      </c>
      <c r="I523" t="str">
        <f t="shared" si="53"/>
        <v>unsafe</v>
      </c>
      <c r="J523">
        <f>IF(AirQuality[[#This Row],[Air Quality Status]]="unsafe",J522+1,0)</f>
        <v>171</v>
      </c>
    </row>
    <row r="524" spans="1:10" x14ac:dyDescent="0.3">
      <c r="A524" s="1">
        <v>44742</v>
      </c>
      <c r="B524">
        <v>45</v>
      </c>
      <c r="C524">
        <f t="shared" si="48"/>
        <v>2022</v>
      </c>
      <c r="D524" t="str">
        <f t="shared" si="49"/>
        <v>June</v>
      </c>
      <c r="E524">
        <f t="shared" si="50"/>
        <v>6</v>
      </c>
      <c r="F524" t="str">
        <f t="shared" si="51"/>
        <v>Jun 2022</v>
      </c>
      <c r="G524" t="str">
        <f t="shared" si="52"/>
        <v>Q2</v>
      </c>
      <c r="H524">
        <f>IF(AirQuality[[#This Row],[pm25  (ug/m3)]]&gt;15,1,0)</f>
        <v>1</v>
      </c>
      <c r="I524" t="str">
        <f t="shared" si="53"/>
        <v>unsafe</v>
      </c>
      <c r="J524">
        <f>IF(AirQuality[[#This Row],[Air Quality Status]]="unsafe",J523+1,0)</f>
        <v>172</v>
      </c>
    </row>
    <row r="525" spans="1:10" x14ac:dyDescent="0.3">
      <c r="A525" s="1">
        <v>44743</v>
      </c>
      <c r="B525">
        <v>70</v>
      </c>
      <c r="C525">
        <f t="shared" si="48"/>
        <v>2022</v>
      </c>
      <c r="D525" t="str">
        <f t="shared" si="49"/>
        <v>July</v>
      </c>
      <c r="E525">
        <f t="shared" si="50"/>
        <v>7</v>
      </c>
      <c r="F525" t="str">
        <f t="shared" si="51"/>
        <v>Jul 2022</v>
      </c>
      <c r="G525" t="str">
        <f t="shared" si="52"/>
        <v>Q3</v>
      </c>
      <c r="H525">
        <f>IF(AirQuality[[#This Row],[pm25  (ug/m3)]]&gt;15,1,0)</f>
        <v>1</v>
      </c>
      <c r="I525" t="str">
        <f t="shared" si="53"/>
        <v>unsafe</v>
      </c>
      <c r="J525">
        <f>IF(AirQuality[[#This Row],[Air Quality Status]]="unsafe",J524+1,0)</f>
        <v>173</v>
      </c>
    </row>
    <row r="526" spans="1:10" x14ac:dyDescent="0.3">
      <c r="A526" s="1">
        <v>44744</v>
      </c>
      <c r="B526">
        <v>62</v>
      </c>
      <c r="C526">
        <f t="shared" si="48"/>
        <v>2022</v>
      </c>
      <c r="D526" t="str">
        <f t="shared" si="49"/>
        <v>July</v>
      </c>
      <c r="E526">
        <f t="shared" si="50"/>
        <v>7</v>
      </c>
      <c r="F526" t="str">
        <f t="shared" si="51"/>
        <v>Jul 2022</v>
      </c>
      <c r="G526" t="str">
        <f t="shared" si="52"/>
        <v>Q3</v>
      </c>
      <c r="H526">
        <f>IF(AirQuality[[#This Row],[pm25  (ug/m3)]]&gt;15,1,0)</f>
        <v>1</v>
      </c>
      <c r="I526" t="str">
        <f t="shared" si="53"/>
        <v>unsafe</v>
      </c>
      <c r="J526">
        <f>IF(AirQuality[[#This Row],[Air Quality Status]]="unsafe",J525+1,0)</f>
        <v>174</v>
      </c>
    </row>
    <row r="527" spans="1:10" x14ac:dyDescent="0.3">
      <c r="A527" s="1">
        <v>44745</v>
      </c>
      <c r="B527">
        <v>95</v>
      </c>
      <c r="C527">
        <f t="shared" si="48"/>
        <v>2022</v>
      </c>
      <c r="D527" t="str">
        <f t="shared" si="49"/>
        <v>July</v>
      </c>
      <c r="E527">
        <f t="shared" si="50"/>
        <v>7</v>
      </c>
      <c r="F527" t="str">
        <f t="shared" si="51"/>
        <v>Jul 2022</v>
      </c>
      <c r="G527" t="str">
        <f t="shared" si="52"/>
        <v>Q3</v>
      </c>
      <c r="H527">
        <f>IF(AirQuality[[#This Row],[pm25  (ug/m3)]]&gt;15,1,0)</f>
        <v>1</v>
      </c>
      <c r="I527" t="str">
        <f t="shared" si="53"/>
        <v>unsafe</v>
      </c>
      <c r="J527">
        <f>IF(AirQuality[[#This Row],[Air Quality Status]]="unsafe",J526+1,0)</f>
        <v>175</v>
      </c>
    </row>
    <row r="528" spans="1:10" x14ac:dyDescent="0.3">
      <c r="A528" s="1">
        <v>44746</v>
      </c>
      <c r="B528">
        <v>58</v>
      </c>
      <c r="C528">
        <f t="shared" si="48"/>
        <v>2022</v>
      </c>
      <c r="D528" t="str">
        <f t="shared" si="49"/>
        <v>July</v>
      </c>
      <c r="E528">
        <f t="shared" si="50"/>
        <v>7</v>
      </c>
      <c r="F528" t="str">
        <f t="shared" si="51"/>
        <v>Jul 2022</v>
      </c>
      <c r="G528" t="str">
        <f t="shared" si="52"/>
        <v>Q3</v>
      </c>
      <c r="H528">
        <f>IF(AirQuality[[#This Row],[pm25  (ug/m3)]]&gt;15,1,0)</f>
        <v>1</v>
      </c>
      <c r="I528" t="str">
        <f t="shared" si="53"/>
        <v>unsafe</v>
      </c>
      <c r="J528">
        <f>IF(AirQuality[[#This Row],[Air Quality Status]]="unsafe",J527+1,0)</f>
        <v>176</v>
      </c>
    </row>
    <row r="529" spans="1:10" x14ac:dyDescent="0.3">
      <c r="A529" s="1">
        <v>44747</v>
      </c>
      <c r="B529">
        <v>62</v>
      </c>
      <c r="C529">
        <f t="shared" si="48"/>
        <v>2022</v>
      </c>
      <c r="D529" t="str">
        <f t="shared" si="49"/>
        <v>July</v>
      </c>
      <c r="E529">
        <f t="shared" si="50"/>
        <v>7</v>
      </c>
      <c r="F529" t="str">
        <f t="shared" si="51"/>
        <v>Jul 2022</v>
      </c>
      <c r="G529" t="str">
        <f t="shared" si="52"/>
        <v>Q3</v>
      </c>
      <c r="H529">
        <f>IF(AirQuality[[#This Row],[pm25  (ug/m3)]]&gt;15,1,0)</f>
        <v>1</v>
      </c>
      <c r="I529" t="str">
        <f t="shared" si="53"/>
        <v>unsafe</v>
      </c>
      <c r="J529">
        <f>IF(AirQuality[[#This Row],[Air Quality Status]]="unsafe",J528+1,0)</f>
        <v>177</v>
      </c>
    </row>
    <row r="530" spans="1:10" x14ac:dyDescent="0.3">
      <c r="A530" s="1">
        <v>44748</v>
      </c>
      <c r="B530">
        <v>79</v>
      </c>
      <c r="C530">
        <f t="shared" si="48"/>
        <v>2022</v>
      </c>
      <c r="D530" t="str">
        <f t="shared" si="49"/>
        <v>July</v>
      </c>
      <c r="E530">
        <f t="shared" si="50"/>
        <v>7</v>
      </c>
      <c r="F530" t="str">
        <f t="shared" si="51"/>
        <v>Jul 2022</v>
      </c>
      <c r="G530" t="str">
        <f t="shared" si="52"/>
        <v>Q3</v>
      </c>
      <c r="H530">
        <f>IF(AirQuality[[#This Row],[pm25  (ug/m3)]]&gt;15,1,0)</f>
        <v>1</v>
      </c>
      <c r="I530" t="str">
        <f t="shared" si="53"/>
        <v>unsafe</v>
      </c>
      <c r="J530">
        <f>IF(AirQuality[[#This Row],[Air Quality Status]]="unsafe",J529+1,0)</f>
        <v>178</v>
      </c>
    </row>
    <row r="531" spans="1:10" x14ac:dyDescent="0.3">
      <c r="A531" s="1">
        <v>44749</v>
      </c>
      <c r="B531">
        <v>61</v>
      </c>
      <c r="C531">
        <f t="shared" si="48"/>
        <v>2022</v>
      </c>
      <c r="D531" t="str">
        <f t="shared" si="49"/>
        <v>July</v>
      </c>
      <c r="E531">
        <f t="shared" si="50"/>
        <v>7</v>
      </c>
      <c r="F531" t="str">
        <f t="shared" si="51"/>
        <v>Jul 2022</v>
      </c>
      <c r="G531" t="str">
        <f t="shared" si="52"/>
        <v>Q3</v>
      </c>
      <c r="H531">
        <f>IF(AirQuality[[#This Row],[pm25  (ug/m3)]]&gt;15,1,0)</f>
        <v>1</v>
      </c>
      <c r="I531" t="str">
        <f t="shared" si="53"/>
        <v>unsafe</v>
      </c>
      <c r="J531">
        <f>IF(AirQuality[[#This Row],[Air Quality Status]]="unsafe",J530+1,0)</f>
        <v>179</v>
      </c>
    </row>
    <row r="532" spans="1:10" x14ac:dyDescent="0.3">
      <c r="A532" s="1">
        <v>44750</v>
      </c>
      <c r="B532">
        <v>71</v>
      </c>
      <c r="C532">
        <f t="shared" si="48"/>
        <v>2022</v>
      </c>
      <c r="D532" t="str">
        <f t="shared" si="49"/>
        <v>July</v>
      </c>
      <c r="E532">
        <f t="shared" si="50"/>
        <v>7</v>
      </c>
      <c r="F532" t="str">
        <f t="shared" si="51"/>
        <v>Jul 2022</v>
      </c>
      <c r="G532" t="str">
        <f t="shared" si="52"/>
        <v>Q3</v>
      </c>
      <c r="H532">
        <f>IF(AirQuality[[#This Row],[pm25  (ug/m3)]]&gt;15,1,0)</f>
        <v>1</v>
      </c>
      <c r="I532" t="str">
        <f t="shared" si="53"/>
        <v>unsafe</v>
      </c>
      <c r="J532">
        <f>IF(AirQuality[[#This Row],[Air Quality Status]]="unsafe",J531+1,0)</f>
        <v>180</v>
      </c>
    </row>
    <row r="533" spans="1:10" x14ac:dyDescent="0.3">
      <c r="A533" s="1">
        <v>44751</v>
      </c>
      <c r="B533">
        <v>66</v>
      </c>
      <c r="C533">
        <f t="shared" si="48"/>
        <v>2022</v>
      </c>
      <c r="D533" t="str">
        <f t="shared" si="49"/>
        <v>July</v>
      </c>
      <c r="E533">
        <f t="shared" si="50"/>
        <v>7</v>
      </c>
      <c r="F533" t="str">
        <f t="shared" si="51"/>
        <v>Jul 2022</v>
      </c>
      <c r="G533" t="str">
        <f t="shared" si="52"/>
        <v>Q3</v>
      </c>
      <c r="H533">
        <f>IF(AirQuality[[#This Row],[pm25  (ug/m3)]]&gt;15,1,0)</f>
        <v>1</v>
      </c>
      <c r="I533" t="str">
        <f t="shared" si="53"/>
        <v>unsafe</v>
      </c>
      <c r="J533">
        <f>IF(AirQuality[[#This Row],[Air Quality Status]]="unsafe",J532+1,0)</f>
        <v>181</v>
      </c>
    </row>
    <row r="534" spans="1:10" x14ac:dyDescent="0.3">
      <c r="A534" s="1">
        <v>44752</v>
      </c>
      <c r="B534">
        <v>72</v>
      </c>
      <c r="C534">
        <f t="shared" si="48"/>
        <v>2022</v>
      </c>
      <c r="D534" t="str">
        <f t="shared" si="49"/>
        <v>July</v>
      </c>
      <c r="E534">
        <f t="shared" si="50"/>
        <v>7</v>
      </c>
      <c r="F534" t="str">
        <f t="shared" si="51"/>
        <v>Jul 2022</v>
      </c>
      <c r="G534" t="str">
        <f t="shared" si="52"/>
        <v>Q3</v>
      </c>
      <c r="H534">
        <f>IF(AirQuality[[#This Row],[pm25  (ug/m3)]]&gt;15,1,0)</f>
        <v>1</v>
      </c>
      <c r="I534" t="str">
        <f t="shared" si="53"/>
        <v>unsafe</v>
      </c>
      <c r="J534">
        <f>IF(AirQuality[[#This Row],[Air Quality Status]]="unsafe",J533+1,0)</f>
        <v>182</v>
      </c>
    </row>
    <row r="535" spans="1:10" x14ac:dyDescent="0.3">
      <c r="A535" s="1">
        <v>44753</v>
      </c>
      <c r="B535">
        <v>63</v>
      </c>
      <c r="C535">
        <f t="shared" si="48"/>
        <v>2022</v>
      </c>
      <c r="D535" t="str">
        <f t="shared" si="49"/>
        <v>July</v>
      </c>
      <c r="E535">
        <f t="shared" si="50"/>
        <v>7</v>
      </c>
      <c r="F535" t="str">
        <f t="shared" si="51"/>
        <v>Jul 2022</v>
      </c>
      <c r="G535" t="str">
        <f t="shared" si="52"/>
        <v>Q3</v>
      </c>
      <c r="H535">
        <f>IF(AirQuality[[#This Row],[pm25  (ug/m3)]]&gt;15,1,0)</f>
        <v>1</v>
      </c>
      <c r="I535" t="str">
        <f t="shared" si="53"/>
        <v>unsafe</v>
      </c>
      <c r="J535">
        <f>IF(AirQuality[[#This Row],[Air Quality Status]]="unsafe",J534+1,0)</f>
        <v>183</v>
      </c>
    </row>
    <row r="536" spans="1:10" x14ac:dyDescent="0.3">
      <c r="A536" s="1">
        <v>44754</v>
      </c>
      <c r="B536">
        <v>58</v>
      </c>
      <c r="C536">
        <f t="shared" si="48"/>
        <v>2022</v>
      </c>
      <c r="D536" t="str">
        <f t="shared" si="49"/>
        <v>July</v>
      </c>
      <c r="E536">
        <f t="shared" si="50"/>
        <v>7</v>
      </c>
      <c r="F536" t="str">
        <f t="shared" si="51"/>
        <v>Jul 2022</v>
      </c>
      <c r="G536" t="str">
        <f t="shared" si="52"/>
        <v>Q3</v>
      </c>
      <c r="H536">
        <f>IF(AirQuality[[#This Row],[pm25  (ug/m3)]]&gt;15,1,0)</f>
        <v>1</v>
      </c>
      <c r="I536" t="str">
        <f t="shared" si="53"/>
        <v>unsafe</v>
      </c>
      <c r="J536">
        <f>IF(AirQuality[[#This Row],[Air Quality Status]]="unsafe",J535+1,0)</f>
        <v>184</v>
      </c>
    </row>
    <row r="537" spans="1:10" x14ac:dyDescent="0.3">
      <c r="A537" s="1">
        <v>44755</v>
      </c>
      <c r="B537">
        <v>63</v>
      </c>
      <c r="C537">
        <f t="shared" si="48"/>
        <v>2022</v>
      </c>
      <c r="D537" t="str">
        <f t="shared" si="49"/>
        <v>July</v>
      </c>
      <c r="E537">
        <f t="shared" si="50"/>
        <v>7</v>
      </c>
      <c r="F537" t="str">
        <f t="shared" si="51"/>
        <v>Jul 2022</v>
      </c>
      <c r="G537" t="str">
        <f t="shared" si="52"/>
        <v>Q3</v>
      </c>
      <c r="H537">
        <f>IF(AirQuality[[#This Row],[pm25  (ug/m3)]]&gt;15,1,0)</f>
        <v>1</v>
      </c>
      <c r="I537" t="str">
        <f t="shared" si="53"/>
        <v>unsafe</v>
      </c>
      <c r="J537">
        <f>IF(AirQuality[[#This Row],[Air Quality Status]]="unsafe",J536+1,0)</f>
        <v>185</v>
      </c>
    </row>
    <row r="538" spans="1:10" x14ac:dyDescent="0.3">
      <c r="A538" s="1">
        <v>44756</v>
      </c>
      <c r="B538">
        <v>56</v>
      </c>
      <c r="C538">
        <f t="shared" si="48"/>
        <v>2022</v>
      </c>
      <c r="D538" t="str">
        <f t="shared" si="49"/>
        <v>July</v>
      </c>
      <c r="E538">
        <f t="shared" si="50"/>
        <v>7</v>
      </c>
      <c r="F538" t="str">
        <f t="shared" si="51"/>
        <v>Jul 2022</v>
      </c>
      <c r="G538" t="str">
        <f t="shared" si="52"/>
        <v>Q3</v>
      </c>
      <c r="H538">
        <f>IF(AirQuality[[#This Row],[pm25  (ug/m3)]]&gt;15,1,0)</f>
        <v>1</v>
      </c>
      <c r="I538" t="str">
        <f t="shared" si="53"/>
        <v>unsafe</v>
      </c>
      <c r="J538">
        <f>IF(AirQuality[[#This Row],[Air Quality Status]]="unsafe",J537+1,0)</f>
        <v>186</v>
      </c>
    </row>
    <row r="539" spans="1:10" x14ac:dyDescent="0.3">
      <c r="A539" s="1">
        <v>44757</v>
      </c>
      <c r="B539">
        <v>53</v>
      </c>
      <c r="C539">
        <f t="shared" si="48"/>
        <v>2022</v>
      </c>
      <c r="D539" t="str">
        <f t="shared" si="49"/>
        <v>July</v>
      </c>
      <c r="E539">
        <f t="shared" si="50"/>
        <v>7</v>
      </c>
      <c r="F539" t="str">
        <f t="shared" si="51"/>
        <v>Jul 2022</v>
      </c>
      <c r="G539" t="str">
        <f t="shared" si="52"/>
        <v>Q3</v>
      </c>
      <c r="H539">
        <f>IF(AirQuality[[#This Row],[pm25  (ug/m3)]]&gt;15,1,0)</f>
        <v>1</v>
      </c>
      <c r="I539" t="str">
        <f t="shared" si="53"/>
        <v>unsafe</v>
      </c>
      <c r="J539">
        <f>IF(AirQuality[[#This Row],[Air Quality Status]]="unsafe",J538+1,0)</f>
        <v>187</v>
      </c>
    </row>
    <row r="540" spans="1:10" x14ac:dyDescent="0.3">
      <c r="A540" s="1">
        <v>44758</v>
      </c>
      <c r="B540">
        <v>54</v>
      </c>
      <c r="C540">
        <f t="shared" si="48"/>
        <v>2022</v>
      </c>
      <c r="D540" t="str">
        <f t="shared" si="49"/>
        <v>July</v>
      </c>
      <c r="E540">
        <f t="shared" si="50"/>
        <v>7</v>
      </c>
      <c r="F540" t="str">
        <f t="shared" si="51"/>
        <v>Jul 2022</v>
      </c>
      <c r="G540" t="str">
        <f t="shared" si="52"/>
        <v>Q3</v>
      </c>
      <c r="H540">
        <f>IF(AirQuality[[#This Row],[pm25  (ug/m3)]]&gt;15,1,0)</f>
        <v>1</v>
      </c>
      <c r="I540" t="str">
        <f t="shared" si="53"/>
        <v>unsafe</v>
      </c>
      <c r="J540">
        <f>IF(AirQuality[[#This Row],[Air Quality Status]]="unsafe",J539+1,0)</f>
        <v>188</v>
      </c>
    </row>
    <row r="541" spans="1:10" x14ac:dyDescent="0.3">
      <c r="A541" s="1">
        <v>44759</v>
      </c>
      <c r="B541">
        <v>58</v>
      </c>
      <c r="C541">
        <f t="shared" si="48"/>
        <v>2022</v>
      </c>
      <c r="D541" t="str">
        <f t="shared" si="49"/>
        <v>July</v>
      </c>
      <c r="E541">
        <f t="shared" si="50"/>
        <v>7</v>
      </c>
      <c r="F541" t="str">
        <f t="shared" si="51"/>
        <v>Jul 2022</v>
      </c>
      <c r="G541" t="str">
        <f t="shared" si="52"/>
        <v>Q3</v>
      </c>
      <c r="H541">
        <f>IF(AirQuality[[#This Row],[pm25  (ug/m3)]]&gt;15,1,0)</f>
        <v>1</v>
      </c>
      <c r="I541" t="str">
        <f t="shared" si="53"/>
        <v>unsafe</v>
      </c>
      <c r="J541">
        <f>IF(AirQuality[[#This Row],[Air Quality Status]]="unsafe",J540+1,0)</f>
        <v>189</v>
      </c>
    </row>
    <row r="542" spans="1:10" x14ac:dyDescent="0.3">
      <c r="A542" s="1">
        <v>44760</v>
      </c>
      <c r="B542">
        <v>60</v>
      </c>
      <c r="C542">
        <f t="shared" si="48"/>
        <v>2022</v>
      </c>
      <c r="D542" t="str">
        <f t="shared" si="49"/>
        <v>July</v>
      </c>
      <c r="E542">
        <f t="shared" si="50"/>
        <v>7</v>
      </c>
      <c r="F542" t="str">
        <f t="shared" si="51"/>
        <v>Jul 2022</v>
      </c>
      <c r="G542" t="str">
        <f t="shared" si="52"/>
        <v>Q3</v>
      </c>
      <c r="H542">
        <f>IF(AirQuality[[#This Row],[pm25  (ug/m3)]]&gt;15,1,0)</f>
        <v>1</v>
      </c>
      <c r="I542" t="str">
        <f t="shared" si="53"/>
        <v>unsafe</v>
      </c>
      <c r="J542">
        <f>IF(AirQuality[[#This Row],[Air Quality Status]]="unsafe",J541+1,0)</f>
        <v>190</v>
      </c>
    </row>
    <row r="543" spans="1:10" x14ac:dyDescent="0.3">
      <c r="A543" s="1">
        <v>44761</v>
      </c>
      <c r="B543">
        <v>63</v>
      </c>
      <c r="C543">
        <f t="shared" si="48"/>
        <v>2022</v>
      </c>
      <c r="D543" t="str">
        <f t="shared" si="49"/>
        <v>July</v>
      </c>
      <c r="E543">
        <f t="shared" si="50"/>
        <v>7</v>
      </c>
      <c r="F543" t="str">
        <f t="shared" si="51"/>
        <v>Jul 2022</v>
      </c>
      <c r="G543" t="str">
        <f t="shared" si="52"/>
        <v>Q3</v>
      </c>
      <c r="H543">
        <f>IF(AirQuality[[#This Row],[pm25  (ug/m3)]]&gt;15,1,0)</f>
        <v>1</v>
      </c>
      <c r="I543" t="str">
        <f t="shared" si="53"/>
        <v>unsafe</v>
      </c>
      <c r="J543">
        <f>IF(AirQuality[[#This Row],[Air Quality Status]]="unsafe",J542+1,0)</f>
        <v>191</v>
      </c>
    </row>
    <row r="544" spans="1:10" x14ac:dyDescent="0.3">
      <c r="A544" s="1">
        <v>44762</v>
      </c>
      <c r="B544">
        <v>62</v>
      </c>
      <c r="C544">
        <f t="shared" si="48"/>
        <v>2022</v>
      </c>
      <c r="D544" t="str">
        <f t="shared" si="49"/>
        <v>July</v>
      </c>
      <c r="E544">
        <f t="shared" si="50"/>
        <v>7</v>
      </c>
      <c r="F544" t="str">
        <f t="shared" si="51"/>
        <v>Jul 2022</v>
      </c>
      <c r="G544" t="str">
        <f t="shared" si="52"/>
        <v>Q3</v>
      </c>
      <c r="H544">
        <f>IF(AirQuality[[#This Row],[pm25  (ug/m3)]]&gt;15,1,0)</f>
        <v>1</v>
      </c>
      <c r="I544" t="str">
        <f t="shared" si="53"/>
        <v>unsafe</v>
      </c>
      <c r="J544">
        <f>IF(AirQuality[[#This Row],[Air Quality Status]]="unsafe",J543+1,0)</f>
        <v>192</v>
      </c>
    </row>
    <row r="545" spans="1:10" x14ac:dyDescent="0.3">
      <c r="A545" s="1">
        <v>44763</v>
      </c>
      <c r="B545">
        <v>71</v>
      </c>
      <c r="C545">
        <f t="shared" si="48"/>
        <v>2022</v>
      </c>
      <c r="D545" t="str">
        <f t="shared" si="49"/>
        <v>July</v>
      </c>
      <c r="E545">
        <f t="shared" si="50"/>
        <v>7</v>
      </c>
      <c r="F545" t="str">
        <f t="shared" si="51"/>
        <v>Jul 2022</v>
      </c>
      <c r="G545" t="str">
        <f t="shared" si="52"/>
        <v>Q3</v>
      </c>
      <c r="H545">
        <f>IF(AirQuality[[#This Row],[pm25  (ug/m3)]]&gt;15,1,0)</f>
        <v>1</v>
      </c>
      <c r="I545" t="str">
        <f t="shared" si="53"/>
        <v>unsafe</v>
      </c>
      <c r="J545">
        <f>IF(AirQuality[[#This Row],[Air Quality Status]]="unsafe",J544+1,0)</f>
        <v>193</v>
      </c>
    </row>
    <row r="546" spans="1:10" x14ac:dyDescent="0.3">
      <c r="A546" s="1">
        <v>44764</v>
      </c>
      <c r="B546">
        <v>67</v>
      </c>
      <c r="C546">
        <f t="shared" si="48"/>
        <v>2022</v>
      </c>
      <c r="D546" t="str">
        <f t="shared" si="49"/>
        <v>July</v>
      </c>
      <c r="E546">
        <f t="shared" si="50"/>
        <v>7</v>
      </c>
      <c r="F546" t="str">
        <f t="shared" si="51"/>
        <v>Jul 2022</v>
      </c>
      <c r="G546" t="str">
        <f t="shared" si="52"/>
        <v>Q3</v>
      </c>
      <c r="H546">
        <f>IF(AirQuality[[#This Row],[pm25  (ug/m3)]]&gt;15,1,0)</f>
        <v>1</v>
      </c>
      <c r="I546" t="str">
        <f t="shared" si="53"/>
        <v>unsafe</v>
      </c>
      <c r="J546">
        <f>IF(AirQuality[[#This Row],[Air Quality Status]]="unsafe",J545+1,0)</f>
        <v>194</v>
      </c>
    </row>
    <row r="547" spans="1:10" x14ac:dyDescent="0.3">
      <c r="A547" s="1">
        <v>44765</v>
      </c>
      <c r="B547">
        <v>58</v>
      </c>
      <c r="C547">
        <f t="shared" si="48"/>
        <v>2022</v>
      </c>
      <c r="D547" t="str">
        <f t="shared" si="49"/>
        <v>July</v>
      </c>
      <c r="E547">
        <f t="shared" si="50"/>
        <v>7</v>
      </c>
      <c r="F547" t="str">
        <f t="shared" si="51"/>
        <v>Jul 2022</v>
      </c>
      <c r="G547" t="str">
        <f t="shared" si="52"/>
        <v>Q3</v>
      </c>
      <c r="H547">
        <f>IF(AirQuality[[#This Row],[pm25  (ug/m3)]]&gt;15,1,0)</f>
        <v>1</v>
      </c>
      <c r="I547" t="str">
        <f t="shared" si="53"/>
        <v>unsafe</v>
      </c>
      <c r="J547">
        <f>IF(AirQuality[[#This Row],[Air Quality Status]]="unsafe",J546+1,0)</f>
        <v>195</v>
      </c>
    </row>
    <row r="548" spans="1:10" x14ac:dyDescent="0.3">
      <c r="A548" s="1">
        <v>44766</v>
      </c>
      <c r="B548">
        <v>62</v>
      </c>
      <c r="C548">
        <f t="shared" si="48"/>
        <v>2022</v>
      </c>
      <c r="D548" t="str">
        <f t="shared" si="49"/>
        <v>July</v>
      </c>
      <c r="E548">
        <f t="shared" si="50"/>
        <v>7</v>
      </c>
      <c r="F548" t="str">
        <f t="shared" si="51"/>
        <v>Jul 2022</v>
      </c>
      <c r="G548" t="str">
        <f t="shared" si="52"/>
        <v>Q3</v>
      </c>
      <c r="H548">
        <f>IF(AirQuality[[#This Row],[pm25  (ug/m3)]]&gt;15,1,0)</f>
        <v>1</v>
      </c>
      <c r="I548" t="str">
        <f t="shared" si="53"/>
        <v>unsafe</v>
      </c>
      <c r="J548">
        <f>IF(AirQuality[[#This Row],[Air Quality Status]]="unsafe",J547+1,0)</f>
        <v>196</v>
      </c>
    </row>
    <row r="549" spans="1:10" x14ac:dyDescent="0.3">
      <c r="A549" s="1">
        <v>44767</v>
      </c>
      <c r="B549">
        <v>71</v>
      </c>
      <c r="C549">
        <f t="shared" si="48"/>
        <v>2022</v>
      </c>
      <c r="D549" t="str">
        <f t="shared" si="49"/>
        <v>July</v>
      </c>
      <c r="E549">
        <f t="shared" si="50"/>
        <v>7</v>
      </c>
      <c r="F549" t="str">
        <f t="shared" si="51"/>
        <v>Jul 2022</v>
      </c>
      <c r="G549" t="str">
        <f t="shared" si="52"/>
        <v>Q3</v>
      </c>
      <c r="H549">
        <f>IF(AirQuality[[#This Row],[pm25  (ug/m3)]]&gt;15,1,0)</f>
        <v>1</v>
      </c>
      <c r="I549" t="str">
        <f t="shared" si="53"/>
        <v>unsafe</v>
      </c>
      <c r="J549">
        <f>IF(AirQuality[[#This Row],[Air Quality Status]]="unsafe",J548+1,0)</f>
        <v>197</v>
      </c>
    </row>
    <row r="550" spans="1:10" x14ac:dyDescent="0.3">
      <c r="A550" s="1">
        <v>44768</v>
      </c>
      <c r="B550">
        <v>54</v>
      </c>
      <c r="C550">
        <f t="shared" si="48"/>
        <v>2022</v>
      </c>
      <c r="D550" t="str">
        <f t="shared" si="49"/>
        <v>July</v>
      </c>
      <c r="E550">
        <f t="shared" si="50"/>
        <v>7</v>
      </c>
      <c r="F550" t="str">
        <f t="shared" si="51"/>
        <v>Jul 2022</v>
      </c>
      <c r="G550" t="str">
        <f t="shared" si="52"/>
        <v>Q3</v>
      </c>
      <c r="H550">
        <f>IF(AirQuality[[#This Row],[pm25  (ug/m3)]]&gt;15,1,0)</f>
        <v>1</v>
      </c>
      <c r="I550" t="str">
        <f t="shared" si="53"/>
        <v>unsafe</v>
      </c>
      <c r="J550">
        <f>IF(AirQuality[[#This Row],[Air Quality Status]]="unsafe",J549+1,0)</f>
        <v>198</v>
      </c>
    </row>
    <row r="551" spans="1:10" x14ac:dyDescent="0.3">
      <c r="A551" s="1">
        <v>44769</v>
      </c>
      <c r="B551">
        <v>54</v>
      </c>
      <c r="C551">
        <f t="shared" si="48"/>
        <v>2022</v>
      </c>
      <c r="D551" t="str">
        <f t="shared" si="49"/>
        <v>July</v>
      </c>
      <c r="E551">
        <f t="shared" si="50"/>
        <v>7</v>
      </c>
      <c r="F551" t="str">
        <f t="shared" si="51"/>
        <v>Jul 2022</v>
      </c>
      <c r="G551" t="str">
        <f t="shared" si="52"/>
        <v>Q3</v>
      </c>
      <c r="H551">
        <f>IF(AirQuality[[#This Row],[pm25  (ug/m3)]]&gt;15,1,0)</f>
        <v>1</v>
      </c>
      <c r="I551" t="str">
        <f t="shared" si="53"/>
        <v>unsafe</v>
      </c>
      <c r="J551">
        <f>IF(AirQuality[[#This Row],[Air Quality Status]]="unsafe",J550+1,0)</f>
        <v>199</v>
      </c>
    </row>
    <row r="552" spans="1:10" x14ac:dyDescent="0.3">
      <c r="A552" s="1">
        <v>44770</v>
      </c>
      <c r="B552">
        <v>58</v>
      </c>
      <c r="C552">
        <f t="shared" si="48"/>
        <v>2022</v>
      </c>
      <c r="D552" t="str">
        <f t="shared" si="49"/>
        <v>July</v>
      </c>
      <c r="E552">
        <f t="shared" si="50"/>
        <v>7</v>
      </c>
      <c r="F552" t="str">
        <f t="shared" si="51"/>
        <v>Jul 2022</v>
      </c>
      <c r="G552" t="str">
        <f t="shared" si="52"/>
        <v>Q3</v>
      </c>
      <c r="H552">
        <f>IF(AirQuality[[#This Row],[pm25  (ug/m3)]]&gt;15,1,0)</f>
        <v>1</v>
      </c>
      <c r="I552" t="str">
        <f t="shared" si="53"/>
        <v>unsafe</v>
      </c>
      <c r="J552">
        <f>IF(AirQuality[[#This Row],[Air Quality Status]]="unsafe",J551+1,0)</f>
        <v>200</v>
      </c>
    </row>
    <row r="553" spans="1:10" x14ac:dyDescent="0.3">
      <c r="A553" s="1">
        <v>44771</v>
      </c>
      <c r="B553">
        <v>59</v>
      </c>
      <c r="C553">
        <f t="shared" si="48"/>
        <v>2022</v>
      </c>
      <c r="D553" t="str">
        <f t="shared" si="49"/>
        <v>July</v>
      </c>
      <c r="E553">
        <f t="shared" si="50"/>
        <v>7</v>
      </c>
      <c r="F553" t="str">
        <f t="shared" si="51"/>
        <v>Jul 2022</v>
      </c>
      <c r="G553" t="str">
        <f t="shared" si="52"/>
        <v>Q3</v>
      </c>
      <c r="H553">
        <f>IF(AirQuality[[#This Row],[pm25  (ug/m3)]]&gt;15,1,0)</f>
        <v>1</v>
      </c>
      <c r="I553" t="str">
        <f t="shared" si="53"/>
        <v>unsafe</v>
      </c>
      <c r="J553">
        <f>IF(AirQuality[[#This Row],[Air Quality Status]]="unsafe",J552+1,0)</f>
        <v>201</v>
      </c>
    </row>
    <row r="554" spans="1:10" x14ac:dyDescent="0.3">
      <c r="A554" s="1">
        <v>44772</v>
      </c>
      <c r="B554">
        <v>62</v>
      </c>
      <c r="C554">
        <f t="shared" si="48"/>
        <v>2022</v>
      </c>
      <c r="D554" t="str">
        <f t="shared" si="49"/>
        <v>July</v>
      </c>
      <c r="E554">
        <f t="shared" si="50"/>
        <v>7</v>
      </c>
      <c r="F554" t="str">
        <f t="shared" si="51"/>
        <v>Jul 2022</v>
      </c>
      <c r="G554" t="str">
        <f t="shared" si="52"/>
        <v>Q3</v>
      </c>
      <c r="H554">
        <f>IF(AirQuality[[#This Row],[pm25  (ug/m3)]]&gt;15,1,0)</f>
        <v>1</v>
      </c>
      <c r="I554" t="str">
        <f t="shared" si="53"/>
        <v>unsafe</v>
      </c>
      <c r="J554">
        <f>IF(AirQuality[[#This Row],[Air Quality Status]]="unsafe",J553+1,0)</f>
        <v>202</v>
      </c>
    </row>
    <row r="555" spans="1:10" x14ac:dyDescent="0.3">
      <c r="A555" s="1">
        <v>44773</v>
      </c>
      <c r="B555">
        <v>59</v>
      </c>
      <c r="C555">
        <f t="shared" si="48"/>
        <v>2022</v>
      </c>
      <c r="D555" t="str">
        <f t="shared" si="49"/>
        <v>July</v>
      </c>
      <c r="E555">
        <f t="shared" si="50"/>
        <v>7</v>
      </c>
      <c r="F555" t="str">
        <f t="shared" si="51"/>
        <v>Jul 2022</v>
      </c>
      <c r="G555" t="str">
        <f t="shared" si="52"/>
        <v>Q3</v>
      </c>
      <c r="H555">
        <f>IF(AirQuality[[#This Row],[pm25  (ug/m3)]]&gt;15,1,0)</f>
        <v>1</v>
      </c>
      <c r="I555" t="str">
        <f t="shared" si="53"/>
        <v>unsafe</v>
      </c>
      <c r="J555">
        <f>IF(AirQuality[[#This Row],[Air Quality Status]]="unsafe",J554+1,0)</f>
        <v>203</v>
      </c>
    </row>
    <row r="556" spans="1:10" x14ac:dyDescent="0.3">
      <c r="A556" s="1">
        <v>44774</v>
      </c>
      <c r="B556">
        <v>63</v>
      </c>
      <c r="C556">
        <f t="shared" si="48"/>
        <v>2022</v>
      </c>
      <c r="D556" t="str">
        <f t="shared" si="49"/>
        <v>August</v>
      </c>
      <c r="E556">
        <f t="shared" si="50"/>
        <v>8</v>
      </c>
      <c r="F556" t="str">
        <f t="shared" si="51"/>
        <v>Aug 2022</v>
      </c>
      <c r="G556" t="str">
        <f t="shared" si="52"/>
        <v>Q3</v>
      </c>
      <c r="H556">
        <f>IF(AirQuality[[#This Row],[pm25  (ug/m3)]]&gt;15,1,0)</f>
        <v>1</v>
      </c>
      <c r="I556" t="str">
        <f t="shared" si="53"/>
        <v>unsafe</v>
      </c>
      <c r="J556">
        <f>IF(AirQuality[[#This Row],[Air Quality Status]]="unsafe",J555+1,0)</f>
        <v>204</v>
      </c>
    </row>
    <row r="557" spans="1:10" x14ac:dyDescent="0.3">
      <c r="A557" s="1">
        <v>44775</v>
      </c>
      <c r="B557">
        <v>88</v>
      </c>
      <c r="C557">
        <f t="shared" si="48"/>
        <v>2022</v>
      </c>
      <c r="D557" t="str">
        <f t="shared" si="49"/>
        <v>August</v>
      </c>
      <c r="E557">
        <f t="shared" si="50"/>
        <v>8</v>
      </c>
      <c r="F557" t="str">
        <f t="shared" si="51"/>
        <v>Aug 2022</v>
      </c>
      <c r="G557" t="str">
        <f t="shared" si="52"/>
        <v>Q3</v>
      </c>
      <c r="H557">
        <f>IF(AirQuality[[#This Row],[pm25  (ug/m3)]]&gt;15,1,0)</f>
        <v>1</v>
      </c>
      <c r="I557" t="str">
        <f t="shared" si="53"/>
        <v>unsafe</v>
      </c>
      <c r="J557">
        <f>IF(AirQuality[[#This Row],[Air Quality Status]]="unsafe",J556+1,0)</f>
        <v>205</v>
      </c>
    </row>
    <row r="558" spans="1:10" x14ac:dyDescent="0.3">
      <c r="A558" s="1">
        <v>44776</v>
      </c>
      <c r="B558">
        <v>69</v>
      </c>
      <c r="C558">
        <f t="shared" si="48"/>
        <v>2022</v>
      </c>
      <c r="D558" t="str">
        <f t="shared" si="49"/>
        <v>August</v>
      </c>
      <c r="E558">
        <f t="shared" si="50"/>
        <v>8</v>
      </c>
      <c r="F558" t="str">
        <f t="shared" si="51"/>
        <v>Aug 2022</v>
      </c>
      <c r="G558" t="str">
        <f t="shared" si="52"/>
        <v>Q3</v>
      </c>
      <c r="H558">
        <f>IF(AirQuality[[#This Row],[pm25  (ug/m3)]]&gt;15,1,0)</f>
        <v>1</v>
      </c>
      <c r="I558" t="str">
        <f t="shared" si="53"/>
        <v>unsafe</v>
      </c>
      <c r="J558">
        <f>IF(AirQuality[[#This Row],[Air Quality Status]]="unsafe",J557+1,0)</f>
        <v>206</v>
      </c>
    </row>
    <row r="559" spans="1:10" x14ac:dyDescent="0.3">
      <c r="A559" s="1">
        <v>44777</v>
      </c>
      <c r="B559">
        <v>57</v>
      </c>
      <c r="C559">
        <f t="shared" si="48"/>
        <v>2022</v>
      </c>
      <c r="D559" t="str">
        <f t="shared" si="49"/>
        <v>August</v>
      </c>
      <c r="E559">
        <f t="shared" si="50"/>
        <v>8</v>
      </c>
      <c r="F559" t="str">
        <f t="shared" si="51"/>
        <v>Aug 2022</v>
      </c>
      <c r="G559" t="str">
        <f t="shared" si="52"/>
        <v>Q3</v>
      </c>
      <c r="H559">
        <f>IF(AirQuality[[#This Row],[pm25  (ug/m3)]]&gt;15,1,0)</f>
        <v>1</v>
      </c>
      <c r="I559" t="str">
        <f t="shared" si="53"/>
        <v>unsafe</v>
      </c>
      <c r="J559">
        <f>IF(AirQuality[[#This Row],[Air Quality Status]]="unsafe",J558+1,0)</f>
        <v>207</v>
      </c>
    </row>
    <row r="560" spans="1:10" x14ac:dyDescent="0.3">
      <c r="A560" s="1">
        <v>44778</v>
      </c>
      <c r="B560">
        <v>55</v>
      </c>
      <c r="C560">
        <f t="shared" si="48"/>
        <v>2022</v>
      </c>
      <c r="D560" t="str">
        <f t="shared" si="49"/>
        <v>August</v>
      </c>
      <c r="E560">
        <f t="shared" si="50"/>
        <v>8</v>
      </c>
      <c r="F560" t="str">
        <f t="shared" si="51"/>
        <v>Aug 2022</v>
      </c>
      <c r="G560" t="str">
        <f t="shared" si="52"/>
        <v>Q3</v>
      </c>
      <c r="H560">
        <f>IF(AirQuality[[#This Row],[pm25  (ug/m3)]]&gt;15,1,0)</f>
        <v>1</v>
      </c>
      <c r="I560" t="str">
        <f t="shared" si="53"/>
        <v>unsafe</v>
      </c>
      <c r="J560">
        <f>IF(AirQuality[[#This Row],[Air Quality Status]]="unsafe",J559+1,0)</f>
        <v>208</v>
      </c>
    </row>
    <row r="561" spans="1:10" x14ac:dyDescent="0.3">
      <c r="A561" s="1">
        <v>44779</v>
      </c>
      <c r="B561">
        <v>61</v>
      </c>
      <c r="C561">
        <f t="shared" si="48"/>
        <v>2022</v>
      </c>
      <c r="D561" t="str">
        <f t="shared" si="49"/>
        <v>August</v>
      </c>
      <c r="E561">
        <f t="shared" si="50"/>
        <v>8</v>
      </c>
      <c r="F561" t="str">
        <f t="shared" si="51"/>
        <v>Aug 2022</v>
      </c>
      <c r="G561" t="str">
        <f t="shared" si="52"/>
        <v>Q3</v>
      </c>
      <c r="H561">
        <f>IF(AirQuality[[#This Row],[pm25  (ug/m3)]]&gt;15,1,0)</f>
        <v>1</v>
      </c>
      <c r="I561" t="str">
        <f t="shared" si="53"/>
        <v>unsafe</v>
      </c>
      <c r="J561">
        <f>IF(AirQuality[[#This Row],[Air Quality Status]]="unsafe",J560+1,0)</f>
        <v>209</v>
      </c>
    </row>
    <row r="562" spans="1:10" x14ac:dyDescent="0.3">
      <c r="A562" s="1">
        <v>44780</v>
      </c>
      <c r="B562">
        <v>52</v>
      </c>
      <c r="C562">
        <f t="shared" si="48"/>
        <v>2022</v>
      </c>
      <c r="D562" t="str">
        <f t="shared" si="49"/>
        <v>August</v>
      </c>
      <c r="E562">
        <f t="shared" si="50"/>
        <v>8</v>
      </c>
      <c r="F562" t="str">
        <f t="shared" si="51"/>
        <v>Aug 2022</v>
      </c>
      <c r="G562" t="str">
        <f t="shared" si="52"/>
        <v>Q3</v>
      </c>
      <c r="H562">
        <f>IF(AirQuality[[#This Row],[pm25  (ug/m3)]]&gt;15,1,0)</f>
        <v>1</v>
      </c>
      <c r="I562" t="str">
        <f t="shared" si="53"/>
        <v>unsafe</v>
      </c>
      <c r="J562">
        <f>IF(AirQuality[[#This Row],[Air Quality Status]]="unsafe",J561+1,0)</f>
        <v>210</v>
      </c>
    </row>
    <row r="563" spans="1:10" x14ac:dyDescent="0.3">
      <c r="A563" s="1">
        <v>44781</v>
      </c>
      <c r="B563">
        <v>55</v>
      </c>
      <c r="C563">
        <f t="shared" si="48"/>
        <v>2022</v>
      </c>
      <c r="D563" t="str">
        <f t="shared" si="49"/>
        <v>August</v>
      </c>
      <c r="E563">
        <f t="shared" si="50"/>
        <v>8</v>
      </c>
      <c r="F563" t="str">
        <f t="shared" si="51"/>
        <v>Aug 2022</v>
      </c>
      <c r="G563" t="str">
        <f t="shared" si="52"/>
        <v>Q3</v>
      </c>
      <c r="H563">
        <f>IF(AirQuality[[#This Row],[pm25  (ug/m3)]]&gt;15,1,0)</f>
        <v>1</v>
      </c>
      <c r="I563" t="str">
        <f t="shared" si="53"/>
        <v>unsafe</v>
      </c>
      <c r="J563">
        <f>IF(AirQuality[[#This Row],[Air Quality Status]]="unsafe",J562+1,0)</f>
        <v>211</v>
      </c>
    </row>
    <row r="564" spans="1:10" x14ac:dyDescent="0.3">
      <c r="A564" s="1">
        <v>44782</v>
      </c>
      <c r="B564">
        <v>54</v>
      </c>
      <c r="C564">
        <f t="shared" si="48"/>
        <v>2022</v>
      </c>
      <c r="D564" t="str">
        <f t="shared" si="49"/>
        <v>August</v>
      </c>
      <c r="E564">
        <f t="shared" si="50"/>
        <v>8</v>
      </c>
      <c r="F564" t="str">
        <f t="shared" si="51"/>
        <v>Aug 2022</v>
      </c>
      <c r="G564" t="str">
        <f t="shared" si="52"/>
        <v>Q3</v>
      </c>
      <c r="H564">
        <f>IF(AirQuality[[#This Row],[pm25  (ug/m3)]]&gt;15,1,0)</f>
        <v>1</v>
      </c>
      <c r="I564" t="str">
        <f t="shared" si="53"/>
        <v>unsafe</v>
      </c>
      <c r="J564">
        <f>IF(AirQuality[[#This Row],[Air Quality Status]]="unsafe",J563+1,0)</f>
        <v>212</v>
      </c>
    </row>
    <row r="565" spans="1:10" x14ac:dyDescent="0.3">
      <c r="A565" s="1">
        <v>44783</v>
      </c>
      <c r="B565">
        <v>51</v>
      </c>
      <c r="C565">
        <f t="shared" si="48"/>
        <v>2022</v>
      </c>
      <c r="D565" t="str">
        <f t="shared" si="49"/>
        <v>August</v>
      </c>
      <c r="E565">
        <f t="shared" si="50"/>
        <v>8</v>
      </c>
      <c r="F565" t="str">
        <f t="shared" si="51"/>
        <v>Aug 2022</v>
      </c>
      <c r="G565" t="str">
        <f t="shared" si="52"/>
        <v>Q3</v>
      </c>
      <c r="H565">
        <f>IF(AirQuality[[#This Row],[pm25  (ug/m3)]]&gt;15,1,0)</f>
        <v>1</v>
      </c>
      <c r="I565" t="str">
        <f t="shared" si="53"/>
        <v>unsafe</v>
      </c>
      <c r="J565">
        <f>IF(AirQuality[[#This Row],[Air Quality Status]]="unsafe",J564+1,0)</f>
        <v>213</v>
      </c>
    </row>
    <row r="566" spans="1:10" x14ac:dyDescent="0.3">
      <c r="A566" s="1">
        <v>44784</v>
      </c>
      <c r="B566">
        <v>54</v>
      </c>
      <c r="C566">
        <f t="shared" si="48"/>
        <v>2022</v>
      </c>
      <c r="D566" t="str">
        <f t="shared" si="49"/>
        <v>August</v>
      </c>
      <c r="E566">
        <f t="shared" si="50"/>
        <v>8</v>
      </c>
      <c r="F566" t="str">
        <f t="shared" si="51"/>
        <v>Aug 2022</v>
      </c>
      <c r="G566" t="str">
        <f t="shared" si="52"/>
        <v>Q3</v>
      </c>
      <c r="H566">
        <f>IF(AirQuality[[#This Row],[pm25  (ug/m3)]]&gt;15,1,0)</f>
        <v>1</v>
      </c>
      <c r="I566" t="str">
        <f t="shared" si="53"/>
        <v>unsafe</v>
      </c>
      <c r="J566">
        <f>IF(AirQuality[[#This Row],[Air Quality Status]]="unsafe",J565+1,0)</f>
        <v>214</v>
      </c>
    </row>
    <row r="567" spans="1:10" x14ac:dyDescent="0.3">
      <c r="A567" s="1">
        <v>44785</v>
      </c>
      <c r="B567">
        <v>59</v>
      </c>
      <c r="C567">
        <f t="shared" si="48"/>
        <v>2022</v>
      </c>
      <c r="D567" t="str">
        <f t="shared" si="49"/>
        <v>August</v>
      </c>
      <c r="E567">
        <f t="shared" si="50"/>
        <v>8</v>
      </c>
      <c r="F567" t="str">
        <f t="shared" si="51"/>
        <v>Aug 2022</v>
      </c>
      <c r="G567" t="str">
        <f t="shared" si="52"/>
        <v>Q3</v>
      </c>
      <c r="H567">
        <f>IF(AirQuality[[#This Row],[pm25  (ug/m3)]]&gt;15,1,0)</f>
        <v>1</v>
      </c>
      <c r="I567" t="str">
        <f t="shared" si="53"/>
        <v>unsafe</v>
      </c>
      <c r="J567">
        <f>IF(AirQuality[[#This Row],[Air Quality Status]]="unsafe",J566+1,0)</f>
        <v>215</v>
      </c>
    </row>
    <row r="568" spans="1:10" x14ac:dyDescent="0.3">
      <c r="A568" s="1">
        <v>44786</v>
      </c>
      <c r="B568">
        <v>66</v>
      </c>
      <c r="C568">
        <f t="shared" si="48"/>
        <v>2022</v>
      </c>
      <c r="D568" t="str">
        <f t="shared" si="49"/>
        <v>August</v>
      </c>
      <c r="E568">
        <f t="shared" si="50"/>
        <v>8</v>
      </c>
      <c r="F568" t="str">
        <f t="shared" si="51"/>
        <v>Aug 2022</v>
      </c>
      <c r="G568" t="str">
        <f t="shared" si="52"/>
        <v>Q3</v>
      </c>
      <c r="H568">
        <f>IF(AirQuality[[#This Row],[pm25  (ug/m3)]]&gt;15,1,0)</f>
        <v>1</v>
      </c>
      <c r="I568" t="str">
        <f t="shared" si="53"/>
        <v>unsafe</v>
      </c>
      <c r="J568">
        <f>IF(AirQuality[[#This Row],[Air Quality Status]]="unsafe",J567+1,0)</f>
        <v>216</v>
      </c>
    </row>
    <row r="569" spans="1:10" x14ac:dyDescent="0.3">
      <c r="A569" s="1">
        <v>44787</v>
      </c>
      <c r="B569">
        <v>61</v>
      </c>
      <c r="C569">
        <f t="shared" si="48"/>
        <v>2022</v>
      </c>
      <c r="D569" t="str">
        <f t="shared" si="49"/>
        <v>August</v>
      </c>
      <c r="E569">
        <f t="shared" si="50"/>
        <v>8</v>
      </c>
      <c r="F569" t="str">
        <f t="shared" si="51"/>
        <v>Aug 2022</v>
      </c>
      <c r="G569" t="str">
        <f t="shared" si="52"/>
        <v>Q3</v>
      </c>
      <c r="H569">
        <f>IF(AirQuality[[#This Row],[pm25  (ug/m3)]]&gt;15,1,0)</f>
        <v>1</v>
      </c>
      <c r="I569" t="str">
        <f t="shared" si="53"/>
        <v>unsafe</v>
      </c>
      <c r="J569">
        <f>IF(AirQuality[[#This Row],[Air Quality Status]]="unsafe",J568+1,0)</f>
        <v>217</v>
      </c>
    </row>
    <row r="570" spans="1:10" x14ac:dyDescent="0.3">
      <c r="A570" s="1">
        <v>44788</v>
      </c>
      <c r="B570">
        <v>62</v>
      </c>
      <c r="C570">
        <f t="shared" si="48"/>
        <v>2022</v>
      </c>
      <c r="D570" t="str">
        <f t="shared" si="49"/>
        <v>August</v>
      </c>
      <c r="E570">
        <f t="shared" si="50"/>
        <v>8</v>
      </c>
      <c r="F570" t="str">
        <f t="shared" si="51"/>
        <v>Aug 2022</v>
      </c>
      <c r="G570" t="str">
        <f t="shared" si="52"/>
        <v>Q3</v>
      </c>
      <c r="H570">
        <f>IF(AirQuality[[#This Row],[pm25  (ug/m3)]]&gt;15,1,0)</f>
        <v>1</v>
      </c>
      <c r="I570" t="str">
        <f t="shared" si="53"/>
        <v>unsafe</v>
      </c>
      <c r="J570">
        <f>IF(AirQuality[[#This Row],[Air Quality Status]]="unsafe",J569+1,0)</f>
        <v>218</v>
      </c>
    </row>
    <row r="571" spans="1:10" x14ac:dyDescent="0.3">
      <c r="A571" s="1">
        <v>44789</v>
      </c>
      <c r="B571">
        <v>56</v>
      </c>
      <c r="C571">
        <f t="shared" si="48"/>
        <v>2022</v>
      </c>
      <c r="D571" t="str">
        <f t="shared" si="49"/>
        <v>August</v>
      </c>
      <c r="E571">
        <f t="shared" si="50"/>
        <v>8</v>
      </c>
      <c r="F571" t="str">
        <f t="shared" si="51"/>
        <v>Aug 2022</v>
      </c>
      <c r="G571" t="str">
        <f t="shared" si="52"/>
        <v>Q3</v>
      </c>
      <c r="H571">
        <f>IF(AirQuality[[#This Row],[pm25  (ug/m3)]]&gt;15,1,0)</f>
        <v>1</v>
      </c>
      <c r="I571" t="str">
        <f t="shared" si="53"/>
        <v>unsafe</v>
      </c>
      <c r="J571">
        <f>IF(AirQuality[[#This Row],[Air Quality Status]]="unsafe",J570+1,0)</f>
        <v>219</v>
      </c>
    </row>
    <row r="572" spans="1:10" x14ac:dyDescent="0.3">
      <c r="A572" s="1">
        <v>44790</v>
      </c>
      <c r="B572">
        <v>56</v>
      </c>
      <c r="C572">
        <f t="shared" si="48"/>
        <v>2022</v>
      </c>
      <c r="D572" t="str">
        <f t="shared" si="49"/>
        <v>August</v>
      </c>
      <c r="E572">
        <f t="shared" si="50"/>
        <v>8</v>
      </c>
      <c r="F572" t="str">
        <f t="shared" si="51"/>
        <v>Aug 2022</v>
      </c>
      <c r="G572" t="str">
        <f t="shared" si="52"/>
        <v>Q3</v>
      </c>
      <c r="H572">
        <f>IF(AirQuality[[#This Row],[pm25  (ug/m3)]]&gt;15,1,0)</f>
        <v>1</v>
      </c>
      <c r="I572" t="str">
        <f t="shared" si="53"/>
        <v>unsafe</v>
      </c>
      <c r="J572">
        <f>IF(AirQuality[[#This Row],[Air Quality Status]]="unsafe",J571+1,0)</f>
        <v>220</v>
      </c>
    </row>
    <row r="573" spans="1:10" x14ac:dyDescent="0.3">
      <c r="A573" s="1">
        <v>44791</v>
      </c>
      <c r="B573">
        <v>61</v>
      </c>
      <c r="C573">
        <f t="shared" si="48"/>
        <v>2022</v>
      </c>
      <c r="D573" t="str">
        <f t="shared" si="49"/>
        <v>August</v>
      </c>
      <c r="E573">
        <f t="shared" si="50"/>
        <v>8</v>
      </c>
      <c r="F573" t="str">
        <f t="shared" si="51"/>
        <v>Aug 2022</v>
      </c>
      <c r="G573" t="str">
        <f t="shared" si="52"/>
        <v>Q3</v>
      </c>
      <c r="H573">
        <f>IF(AirQuality[[#This Row],[pm25  (ug/m3)]]&gt;15,1,0)</f>
        <v>1</v>
      </c>
      <c r="I573" t="str">
        <f t="shared" si="53"/>
        <v>unsafe</v>
      </c>
      <c r="J573">
        <f>IF(AirQuality[[#This Row],[Air Quality Status]]="unsafe",J572+1,0)</f>
        <v>221</v>
      </c>
    </row>
    <row r="574" spans="1:10" x14ac:dyDescent="0.3">
      <c r="A574" s="1">
        <v>44792</v>
      </c>
      <c r="B574">
        <v>56</v>
      </c>
      <c r="C574">
        <f t="shared" si="48"/>
        <v>2022</v>
      </c>
      <c r="D574" t="str">
        <f t="shared" si="49"/>
        <v>August</v>
      </c>
      <c r="E574">
        <f t="shared" si="50"/>
        <v>8</v>
      </c>
      <c r="F574" t="str">
        <f t="shared" si="51"/>
        <v>Aug 2022</v>
      </c>
      <c r="G574" t="str">
        <f t="shared" si="52"/>
        <v>Q3</v>
      </c>
      <c r="H574">
        <f>IF(AirQuality[[#This Row],[pm25  (ug/m3)]]&gt;15,1,0)</f>
        <v>1</v>
      </c>
      <c r="I574" t="str">
        <f t="shared" si="53"/>
        <v>unsafe</v>
      </c>
      <c r="J574">
        <f>IF(AirQuality[[#This Row],[Air Quality Status]]="unsafe",J573+1,0)</f>
        <v>222</v>
      </c>
    </row>
    <row r="575" spans="1:10" x14ac:dyDescent="0.3">
      <c r="A575" s="1">
        <v>44793</v>
      </c>
      <c r="B575">
        <v>60</v>
      </c>
      <c r="C575">
        <f t="shared" si="48"/>
        <v>2022</v>
      </c>
      <c r="D575" t="str">
        <f t="shared" si="49"/>
        <v>August</v>
      </c>
      <c r="E575">
        <f t="shared" si="50"/>
        <v>8</v>
      </c>
      <c r="F575" t="str">
        <f t="shared" si="51"/>
        <v>Aug 2022</v>
      </c>
      <c r="G575" t="str">
        <f t="shared" si="52"/>
        <v>Q3</v>
      </c>
      <c r="H575">
        <f>IF(AirQuality[[#This Row],[pm25  (ug/m3)]]&gt;15,1,0)</f>
        <v>1</v>
      </c>
      <c r="I575" t="str">
        <f t="shared" si="53"/>
        <v>unsafe</v>
      </c>
      <c r="J575">
        <f>IF(AirQuality[[#This Row],[Air Quality Status]]="unsafe",J574+1,0)</f>
        <v>223</v>
      </c>
    </row>
    <row r="576" spans="1:10" x14ac:dyDescent="0.3">
      <c r="A576" s="1">
        <v>44794</v>
      </c>
      <c r="B576">
        <v>80</v>
      </c>
      <c r="C576">
        <f t="shared" si="48"/>
        <v>2022</v>
      </c>
      <c r="D576" t="str">
        <f t="shared" si="49"/>
        <v>August</v>
      </c>
      <c r="E576">
        <f t="shared" si="50"/>
        <v>8</v>
      </c>
      <c r="F576" t="str">
        <f t="shared" si="51"/>
        <v>Aug 2022</v>
      </c>
      <c r="G576" t="str">
        <f t="shared" si="52"/>
        <v>Q3</v>
      </c>
      <c r="H576">
        <f>IF(AirQuality[[#This Row],[pm25  (ug/m3)]]&gt;15,1,0)</f>
        <v>1</v>
      </c>
      <c r="I576" t="str">
        <f t="shared" si="53"/>
        <v>unsafe</v>
      </c>
      <c r="J576">
        <f>IF(AirQuality[[#This Row],[Air Quality Status]]="unsafe",J575+1,0)</f>
        <v>224</v>
      </c>
    </row>
    <row r="577" spans="1:10" x14ac:dyDescent="0.3">
      <c r="A577" s="1">
        <v>44795</v>
      </c>
      <c r="B577">
        <v>59</v>
      </c>
      <c r="C577">
        <f t="shared" si="48"/>
        <v>2022</v>
      </c>
      <c r="D577" t="str">
        <f t="shared" si="49"/>
        <v>August</v>
      </c>
      <c r="E577">
        <f t="shared" si="50"/>
        <v>8</v>
      </c>
      <c r="F577" t="str">
        <f t="shared" si="51"/>
        <v>Aug 2022</v>
      </c>
      <c r="G577" t="str">
        <f t="shared" si="52"/>
        <v>Q3</v>
      </c>
      <c r="H577">
        <f>IF(AirQuality[[#This Row],[pm25  (ug/m3)]]&gt;15,1,0)</f>
        <v>1</v>
      </c>
      <c r="I577" t="str">
        <f t="shared" si="53"/>
        <v>unsafe</v>
      </c>
      <c r="J577">
        <f>IF(AirQuality[[#This Row],[Air Quality Status]]="unsafe",J576+1,0)</f>
        <v>225</v>
      </c>
    </row>
    <row r="578" spans="1:10" x14ac:dyDescent="0.3">
      <c r="A578" s="1">
        <v>44796</v>
      </c>
      <c r="B578">
        <v>61</v>
      </c>
      <c r="C578">
        <f t="shared" ref="C578:C641" si="54">YEAR(A578)</f>
        <v>2022</v>
      </c>
      <c r="D578" t="str">
        <f t="shared" ref="D578:D641" si="55">TEXT(A578,"mmmm")</f>
        <v>August</v>
      </c>
      <c r="E578">
        <f t="shared" ref="E578:E641" si="56">MONTH(A578)</f>
        <v>8</v>
      </c>
      <c r="F578" t="str">
        <f t="shared" ref="F578:F641" si="57">TEXT(A578,"mmm yyyy")</f>
        <v>Aug 2022</v>
      </c>
      <c r="G578" t="str">
        <f t="shared" ref="G578:G641" si="58">"Q"&amp;ROUNDUP(MONTH(A578)/3,0)</f>
        <v>Q3</v>
      </c>
      <c r="H578">
        <f>IF(AirQuality[[#This Row],[pm25  (ug/m3)]]&gt;15,1,0)</f>
        <v>1</v>
      </c>
      <c r="I578" t="str">
        <f t="shared" ref="I578:I641" si="59">IF(B578&gt;15,"unsafe","safe")</f>
        <v>unsafe</v>
      </c>
      <c r="J578">
        <f>IF(AirQuality[[#This Row],[Air Quality Status]]="unsafe",J577+1,0)</f>
        <v>226</v>
      </c>
    </row>
    <row r="579" spans="1:10" x14ac:dyDescent="0.3">
      <c r="A579" s="1">
        <v>44797</v>
      </c>
      <c r="B579">
        <v>63</v>
      </c>
      <c r="C579">
        <f t="shared" si="54"/>
        <v>2022</v>
      </c>
      <c r="D579" t="str">
        <f t="shared" si="55"/>
        <v>August</v>
      </c>
      <c r="E579">
        <f t="shared" si="56"/>
        <v>8</v>
      </c>
      <c r="F579" t="str">
        <f t="shared" si="57"/>
        <v>Aug 2022</v>
      </c>
      <c r="G579" t="str">
        <f t="shared" si="58"/>
        <v>Q3</v>
      </c>
      <c r="H579">
        <f>IF(AirQuality[[#This Row],[pm25  (ug/m3)]]&gt;15,1,0)</f>
        <v>1</v>
      </c>
      <c r="I579" t="str">
        <f t="shared" si="59"/>
        <v>unsafe</v>
      </c>
      <c r="J579">
        <f>IF(AirQuality[[#This Row],[Air Quality Status]]="unsafe",J578+1,0)</f>
        <v>227</v>
      </c>
    </row>
    <row r="580" spans="1:10" x14ac:dyDescent="0.3">
      <c r="A580" s="1">
        <v>44798</v>
      </c>
      <c r="B580">
        <v>73</v>
      </c>
      <c r="C580">
        <f t="shared" si="54"/>
        <v>2022</v>
      </c>
      <c r="D580" t="str">
        <f t="shared" si="55"/>
        <v>August</v>
      </c>
      <c r="E580">
        <f t="shared" si="56"/>
        <v>8</v>
      </c>
      <c r="F580" t="str">
        <f t="shared" si="57"/>
        <v>Aug 2022</v>
      </c>
      <c r="G580" t="str">
        <f t="shared" si="58"/>
        <v>Q3</v>
      </c>
      <c r="H580">
        <f>IF(AirQuality[[#This Row],[pm25  (ug/m3)]]&gt;15,1,0)</f>
        <v>1</v>
      </c>
      <c r="I580" t="str">
        <f t="shared" si="59"/>
        <v>unsafe</v>
      </c>
      <c r="J580">
        <f>IF(AirQuality[[#This Row],[Air Quality Status]]="unsafe",J579+1,0)</f>
        <v>228</v>
      </c>
    </row>
    <row r="581" spans="1:10" x14ac:dyDescent="0.3">
      <c r="A581" s="1">
        <v>44799</v>
      </c>
      <c r="B581">
        <v>52</v>
      </c>
      <c r="C581">
        <f t="shared" si="54"/>
        <v>2022</v>
      </c>
      <c r="D581" t="str">
        <f t="shared" si="55"/>
        <v>August</v>
      </c>
      <c r="E581">
        <f t="shared" si="56"/>
        <v>8</v>
      </c>
      <c r="F581" t="str">
        <f t="shared" si="57"/>
        <v>Aug 2022</v>
      </c>
      <c r="G581" t="str">
        <f t="shared" si="58"/>
        <v>Q3</v>
      </c>
      <c r="H581">
        <f>IF(AirQuality[[#This Row],[pm25  (ug/m3)]]&gt;15,1,0)</f>
        <v>1</v>
      </c>
      <c r="I581" t="str">
        <f t="shared" si="59"/>
        <v>unsafe</v>
      </c>
      <c r="J581">
        <f>IF(AirQuality[[#This Row],[Air Quality Status]]="unsafe",J580+1,0)</f>
        <v>229</v>
      </c>
    </row>
    <row r="582" spans="1:10" x14ac:dyDescent="0.3">
      <c r="A582" s="1">
        <v>44800</v>
      </c>
      <c r="B582">
        <v>56</v>
      </c>
      <c r="C582">
        <f t="shared" si="54"/>
        <v>2022</v>
      </c>
      <c r="D582" t="str">
        <f t="shared" si="55"/>
        <v>August</v>
      </c>
      <c r="E582">
        <f t="shared" si="56"/>
        <v>8</v>
      </c>
      <c r="F582" t="str">
        <f t="shared" si="57"/>
        <v>Aug 2022</v>
      </c>
      <c r="G582" t="str">
        <f t="shared" si="58"/>
        <v>Q3</v>
      </c>
      <c r="H582">
        <f>IF(AirQuality[[#This Row],[pm25  (ug/m3)]]&gt;15,1,0)</f>
        <v>1</v>
      </c>
      <c r="I582" t="str">
        <f t="shared" si="59"/>
        <v>unsafe</v>
      </c>
      <c r="J582">
        <f>IF(AirQuality[[#This Row],[Air Quality Status]]="unsafe",J581+1,0)</f>
        <v>230</v>
      </c>
    </row>
    <row r="583" spans="1:10" x14ac:dyDescent="0.3">
      <c r="A583" s="1">
        <v>44801</v>
      </c>
      <c r="B583">
        <v>55</v>
      </c>
      <c r="C583">
        <f t="shared" si="54"/>
        <v>2022</v>
      </c>
      <c r="D583" t="str">
        <f t="shared" si="55"/>
        <v>August</v>
      </c>
      <c r="E583">
        <f t="shared" si="56"/>
        <v>8</v>
      </c>
      <c r="F583" t="str">
        <f t="shared" si="57"/>
        <v>Aug 2022</v>
      </c>
      <c r="G583" t="str">
        <f t="shared" si="58"/>
        <v>Q3</v>
      </c>
      <c r="H583">
        <f>IF(AirQuality[[#This Row],[pm25  (ug/m3)]]&gt;15,1,0)</f>
        <v>1</v>
      </c>
      <c r="I583" t="str">
        <f t="shared" si="59"/>
        <v>unsafe</v>
      </c>
      <c r="J583">
        <f>IF(AirQuality[[#This Row],[Air Quality Status]]="unsafe",J582+1,0)</f>
        <v>231</v>
      </c>
    </row>
    <row r="584" spans="1:10" x14ac:dyDescent="0.3">
      <c r="A584" s="1">
        <v>44802</v>
      </c>
      <c r="B584">
        <v>62</v>
      </c>
      <c r="C584">
        <f t="shared" si="54"/>
        <v>2022</v>
      </c>
      <c r="D584" t="str">
        <f t="shared" si="55"/>
        <v>August</v>
      </c>
      <c r="E584">
        <f t="shared" si="56"/>
        <v>8</v>
      </c>
      <c r="F584" t="str">
        <f t="shared" si="57"/>
        <v>Aug 2022</v>
      </c>
      <c r="G584" t="str">
        <f t="shared" si="58"/>
        <v>Q3</v>
      </c>
      <c r="H584">
        <f>IF(AirQuality[[#This Row],[pm25  (ug/m3)]]&gt;15,1,0)</f>
        <v>1</v>
      </c>
      <c r="I584" t="str">
        <f t="shared" si="59"/>
        <v>unsafe</v>
      </c>
      <c r="J584">
        <f>IF(AirQuality[[#This Row],[Air Quality Status]]="unsafe",J583+1,0)</f>
        <v>232</v>
      </c>
    </row>
    <row r="585" spans="1:10" x14ac:dyDescent="0.3">
      <c r="A585" s="1">
        <v>44803</v>
      </c>
      <c r="B585">
        <v>51</v>
      </c>
      <c r="C585">
        <f t="shared" si="54"/>
        <v>2022</v>
      </c>
      <c r="D585" t="str">
        <f t="shared" si="55"/>
        <v>August</v>
      </c>
      <c r="E585">
        <f t="shared" si="56"/>
        <v>8</v>
      </c>
      <c r="F585" t="str">
        <f t="shared" si="57"/>
        <v>Aug 2022</v>
      </c>
      <c r="G585" t="str">
        <f t="shared" si="58"/>
        <v>Q3</v>
      </c>
      <c r="H585">
        <f>IF(AirQuality[[#This Row],[pm25  (ug/m3)]]&gt;15,1,0)</f>
        <v>1</v>
      </c>
      <c r="I585" t="str">
        <f t="shared" si="59"/>
        <v>unsafe</v>
      </c>
      <c r="J585">
        <f>IF(AirQuality[[#This Row],[Air Quality Status]]="unsafe",J584+1,0)</f>
        <v>233</v>
      </c>
    </row>
    <row r="586" spans="1:10" x14ac:dyDescent="0.3">
      <c r="A586" s="1">
        <v>44804</v>
      </c>
      <c r="B586">
        <v>38</v>
      </c>
      <c r="C586">
        <f t="shared" si="54"/>
        <v>2022</v>
      </c>
      <c r="D586" t="str">
        <f t="shared" si="55"/>
        <v>August</v>
      </c>
      <c r="E586">
        <f t="shared" si="56"/>
        <v>8</v>
      </c>
      <c r="F586" t="str">
        <f t="shared" si="57"/>
        <v>Aug 2022</v>
      </c>
      <c r="G586" t="str">
        <f t="shared" si="58"/>
        <v>Q3</v>
      </c>
      <c r="H586">
        <f>IF(AirQuality[[#This Row],[pm25  (ug/m3)]]&gt;15,1,0)</f>
        <v>1</v>
      </c>
      <c r="I586" t="str">
        <f t="shared" si="59"/>
        <v>unsafe</v>
      </c>
      <c r="J586">
        <f>IF(AirQuality[[#This Row],[Air Quality Status]]="unsafe",J585+1,0)</f>
        <v>234</v>
      </c>
    </row>
    <row r="587" spans="1:10" x14ac:dyDescent="0.3">
      <c r="A587" s="1">
        <v>44805</v>
      </c>
      <c r="B587">
        <v>40</v>
      </c>
      <c r="C587">
        <f t="shared" si="54"/>
        <v>2022</v>
      </c>
      <c r="D587" t="str">
        <f t="shared" si="55"/>
        <v>September</v>
      </c>
      <c r="E587">
        <f t="shared" si="56"/>
        <v>9</v>
      </c>
      <c r="F587" t="str">
        <f t="shared" si="57"/>
        <v>Sept 2022</v>
      </c>
      <c r="G587" t="str">
        <f t="shared" si="58"/>
        <v>Q3</v>
      </c>
      <c r="H587">
        <f>IF(AirQuality[[#This Row],[pm25  (ug/m3)]]&gt;15,1,0)</f>
        <v>1</v>
      </c>
      <c r="I587" t="str">
        <f t="shared" si="59"/>
        <v>unsafe</v>
      </c>
      <c r="J587">
        <f>IF(AirQuality[[#This Row],[Air Quality Status]]="unsafe",J586+1,0)</f>
        <v>235</v>
      </c>
    </row>
    <row r="588" spans="1:10" x14ac:dyDescent="0.3">
      <c r="A588" s="1">
        <v>44806</v>
      </c>
      <c r="B588">
        <v>43</v>
      </c>
      <c r="C588">
        <f t="shared" si="54"/>
        <v>2022</v>
      </c>
      <c r="D588" t="str">
        <f t="shared" si="55"/>
        <v>September</v>
      </c>
      <c r="E588">
        <f t="shared" si="56"/>
        <v>9</v>
      </c>
      <c r="F588" t="str">
        <f t="shared" si="57"/>
        <v>Sept 2022</v>
      </c>
      <c r="G588" t="str">
        <f t="shared" si="58"/>
        <v>Q3</v>
      </c>
      <c r="H588">
        <f>IF(AirQuality[[#This Row],[pm25  (ug/m3)]]&gt;15,1,0)</f>
        <v>1</v>
      </c>
      <c r="I588" t="str">
        <f t="shared" si="59"/>
        <v>unsafe</v>
      </c>
      <c r="J588">
        <f>IF(AirQuality[[#This Row],[Air Quality Status]]="unsafe",J587+1,0)</f>
        <v>236</v>
      </c>
    </row>
    <row r="589" spans="1:10" x14ac:dyDescent="0.3">
      <c r="A589" s="1">
        <v>44807</v>
      </c>
      <c r="B589">
        <v>33</v>
      </c>
      <c r="C589">
        <f t="shared" si="54"/>
        <v>2022</v>
      </c>
      <c r="D589" t="str">
        <f t="shared" si="55"/>
        <v>September</v>
      </c>
      <c r="E589">
        <f t="shared" si="56"/>
        <v>9</v>
      </c>
      <c r="F589" t="str">
        <f t="shared" si="57"/>
        <v>Sept 2022</v>
      </c>
      <c r="G589" t="str">
        <f t="shared" si="58"/>
        <v>Q3</v>
      </c>
      <c r="H589">
        <f>IF(AirQuality[[#This Row],[pm25  (ug/m3)]]&gt;15,1,0)</f>
        <v>1</v>
      </c>
      <c r="I589" t="str">
        <f t="shared" si="59"/>
        <v>unsafe</v>
      </c>
      <c r="J589">
        <f>IF(AirQuality[[#This Row],[Air Quality Status]]="unsafe",J588+1,0)</f>
        <v>237</v>
      </c>
    </row>
    <row r="590" spans="1:10" x14ac:dyDescent="0.3">
      <c r="A590" s="1">
        <v>44808</v>
      </c>
      <c r="B590">
        <v>53</v>
      </c>
      <c r="C590">
        <f t="shared" si="54"/>
        <v>2022</v>
      </c>
      <c r="D590" t="str">
        <f t="shared" si="55"/>
        <v>September</v>
      </c>
      <c r="E590">
        <f t="shared" si="56"/>
        <v>9</v>
      </c>
      <c r="F590" t="str">
        <f t="shared" si="57"/>
        <v>Sept 2022</v>
      </c>
      <c r="G590" t="str">
        <f t="shared" si="58"/>
        <v>Q3</v>
      </c>
      <c r="H590">
        <f>IF(AirQuality[[#This Row],[pm25  (ug/m3)]]&gt;15,1,0)</f>
        <v>1</v>
      </c>
      <c r="I590" t="str">
        <f t="shared" si="59"/>
        <v>unsafe</v>
      </c>
      <c r="J590">
        <f>IF(AirQuality[[#This Row],[Air Quality Status]]="unsafe",J589+1,0)</f>
        <v>238</v>
      </c>
    </row>
    <row r="591" spans="1:10" x14ac:dyDescent="0.3">
      <c r="A591" s="1">
        <v>44809</v>
      </c>
      <c r="B591">
        <v>45</v>
      </c>
      <c r="C591">
        <f t="shared" si="54"/>
        <v>2022</v>
      </c>
      <c r="D591" t="str">
        <f t="shared" si="55"/>
        <v>September</v>
      </c>
      <c r="E591">
        <f t="shared" si="56"/>
        <v>9</v>
      </c>
      <c r="F591" t="str">
        <f t="shared" si="57"/>
        <v>Sept 2022</v>
      </c>
      <c r="G591" t="str">
        <f t="shared" si="58"/>
        <v>Q3</v>
      </c>
      <c r="H591">
        <f>IF(AirQuality[[#This Row],[pm25  (ug/m3)]]&gt;15,1,0)</f>
        <v>1</v>
      </c>
      <c r="I591" t="str">
        <f t="shared" si="59"/>
        <v>unsafe</v>
      </c>
      <c r="J591">
        <f>IF(AirQuality[[#This Row],[Air Quality Status]]="unsafe",J590+1,0)</f>
        <v>239</v>
      </c>
    </row>
    <row r="592" spans="1:10" x14ac:dyDescent="0.3">
      <c r="A592" s="1">
        <v>44810</v>
      </c>
      <c r="B592">
        <v>42</v>
      </c>
      <c r="C592">
        <f t="shared" si="54"/>
        <v>2022</v>
      </c>
      <c r="D592" t="str">
        <f t="shared" si="55"/>
        <v>September</v>
      </c>
      <c r="E592">
        <f t="shared" si="56"/>
        <v>9</v>
      </c>
      <c r="F592" t="str">
        <f t="shared" si="57"/>
        <v>Sept 2022</v>
      </c>
      <c r="G592" t="str">
        <f t="shared" si="58"/>
        <v>Q3</v>
      </c>
      <c r="H592">
        <f>IF(AirQuality[[#This Row],[pm25  (ug/m3)]]&gt;15,1,0)</f>
        <v>1</v>
      </c>
      <c r="I592" t="str">
        <f t="shared" si="59"/>
        <v>unsafe</v>
      </c>
      <c r="J592">
        <f>IF(AirQuality[[#This Row],[Air Quality Status]]="unsafe",J591+1,0)</f>
        <v>240</v>
      </c>
    </row>
    <row r="593" spans="1:10" x14ac:dyDescent="0.3">
      <c r="A593" s="1">
        <v>44811</v>
      </c>
      <c r="B593">
        <v>43</v>
      </c>
      <c r="C593">
        <f t="shared" si="54"/>
        <v>2022</v>
      </c>
      <c r="D593" t="str">
        <f t="shared" si="55"/>
        <v>September</v>
      </c>
      <c r="E593">
        <f t="shared" si="56"/>
        <v>9</v>
      </c>
      <c r="F593" t="str">
        <f t="shared" si="57"/>
        <v>Sept 2022</v>
      </c>
      <c r="G593" t="str">
        <f t="shared" si="58"/>
        <v>Q3</v>
      </c>
      <c r="H593">
        <f>IF(AirQuality[[#This Row],[pm25  (ug/m3)]]&gt;15,1,0)</f>
        <v>1</v>
      </c>
      <c r="I593" t="str">
        <f t="shared" si="59"/>
        <v>unsafe</v>
      </c>
      <c r="J593">
        <f>IF(AirQuality[[#This Row],[Air Quality Status]]="unsafe",J592+1,0)</f>
        <v>241</v>
      </c>
    </row>
    <row r="594" spans="1:10" x14ac:dyDescent="0.3">
      <c r="A594" s="1">
        <v>44812</v>
      </c>
      <c r="B594">
        <v>38</v>
      </c>
      <c r="C594">
        <f t="shared" si="54"/>
        <v>2022</v>
      </c>
      <c r="D594" t="str">
        <f t="shared" si="55"/>
        <v>September</v>
      </c>
      <c r="E594">
        <f t="shared" si="56"/>
        <v>9</v>
      </c>
      <c r="F594" t="str">
        <f t="shared" si="57"/>
        <v>Sept 2022</v>
      </c>
      <c r="G594" t="str">
        <f t="shared" si="58"/>
        <v>Q3</v>
      </c>
      <c r="H594">
        <f>IF(AirQuality[[#This Row],[pm25  (ug/m3)]]&gt;15,1,0)</f>
        <v>1</v>
      </c>
      <c r="I594" t="str">
        <f t="shared" si="59"/>
        <v>unsafe</v>
      </c>
      <c r="J594">
        <f>IF(AirQuality[[#This Row],[Air Quality Status]]="unsafe",J593+1,0)</f>
        <v>242</v>
      </c>
    </row>
    <row r="595" spans="1:10" x14ac:dyDescent="0.3">
      <c r="A595" s="1">
        <v>44813</v>
      </c>
      <c r="B595">
        <v>39</v>
      </c>
      <c r="C595">
        <f t="shared" si="54"/>
        <v>2022</v>
      </c>
      <c r="D595" t="str">
        <f t="shared" si="55"/>
        <v>September</v>
      </c>
      <c r="E595">
        <f t="shared" si="56"/>
        <v>9</v>
      </c>
      <c r="F595" t="str">
        <f t="shared" si="57"/>
        <v>Sept 2022</v>
      </c>
      <c r="G595" t="str">
        <f t="shared" si="58"/>
        <v>Q3</v>
      </c>
      <c r="H595">
        <f>IF(AirQuality[[#This Row],[pm25  (ug/m3)]]&gt;15,1,0)</f>
        <v>1</v>
      </c>
      <c r="I595" t="str">
        <f t="shared" si="59"/>
        <v>unsafe</v>
      </c>
      <c r="J595">
        <f>IF(AirQuality[[#This Row],[Air Quality Status]]="unsafe",J594+1,0)</f>
        <v>243</v>
      </c>
    </row>
    <row r="596" spans="1:10" x14ac:dyDescent="0.3">
      <c r="A596" s="1">
        <v>44814</v>
      </c>
      <c r="B596">
        <v>50</v>
      </c>
      <c r="C596">
        <f t="shared" si="54"/>
        <v>2022</v>
      </c>
      <c r="D596" t="str">
        <f t="shared" si="55"/>
        <v>September</v>
      </c>
      <c r="E596">
        <f t="shared" si="56"/>
        <v>9</v>
      </c>
      <c r="F596" t="str">
        <f t="shared" si="57"/>
        <v>Sept 2022</v>
      </c>
      <c r="G596" t="str">
        <f t="shared" si="58"/>
        <v>Q3</v>
      </c>
      <c r="H596">
        <f>IF(AirQuality[[#This Row],[pm25  (ug/m3)]]&gt;15,1,0)</f>
        <v>1</v>
      </c>
      <c r="I596" t="str">
        <f t="shared" si="59"/>
        <v>unsafe</v>
      </c>
      <c r="J596">
        <f>IF(AirQuality[[#This Row],[Air Quality Status]]="unsafe",J595+1,0)</f>
        <v>244</v>
      </c>
    </row>
    <row r="597" spans="1:10" x14ac:dyDescent="0.3">
      <c r="A597" s="1">
        <v>44815</v>
      </c>
      <c r="B597">
        <v>56</v>
      </c>
      <c r="C597">
        <f t="shared" si="54"/>
        <v>2022</v>
      </c>
      <c r="D597" t="str">
        <f t="shared" si="55"/>
        <v>September</v>
      </c>
      <c r="E597">
        <f t="shared" si="56"/>
        <v>9</v>
      </c>
      <c r="F597" t="str">
        <f t="shared" si="57"/>
        <v>Sept 2022</v>
      </c>
      <c r="G597" t="str">
        <f t="shared" si="58"/>
        <v>Q3</v>
      </c>
      <c r="H597">
        <f>IF(AirQuality[[#This Row],[pm25  (ug/m3)]]&gt;15,1,0)</f>
        <v>1</v>
      </c>
      <c r="I597" t="str">
        <f t="shared" si="59"/>
        <v>unsafe</v>
      </c>
      <c r="J597">
        <f>IF(AirQuality[[#This Row],[Air Quality Status]]="unsafe",J596+1,0)</f>
        <v>245</v>
      </c>
    </row>
    <row r="598" spans="1:10" x14ac:dyDescent="0.3">
      <c r="A598" s="1">
        <v>44816</v>
      </c>
      <c r="B598">
        <v>44</v>
      </c>
      <c r="C598">
        <f t="shared" si="54"/>
        <v>2022</v>
      </c>
      <c r="D598" t="str">
        <f t="shared" si="55"/>
        <v>September</v>
      </c>
      <c r="E598">
        <f t="shared" si="56"/>
        <v>9</v>
      </c>
      <c r="F598" t="str">
        <f t="shared" si="57"/>
        <v>Sept 2022</v>
      </c>
      <c r="G598" t="str">
        <f t="shared" si="58"/>
        <v>Q3</v>
      </c>
      <c r="H598">
        <f>IF(AirQuality[[#This Row],[pm25  (ug/m3)]]&gt;15,1,0)</f>
        <v>1</v>
      </c>
      <c r="I598" t="str">
        <f t="shared" si="59"/>
        <v>unsafe</v>
      </c>
      <c r="J598">
        <f>IF(AirQuality[[#This Row],[Air Quality Status]]="unsafe",J597+1,0)</f>
        <v>246</v>
      </c>
    </row>
    <row r="599" spans="1:10" x14ac:dyDescent="0.3">
      <c r="A599" s="1">
        <v>44817</v>
      </c>
      <c r="B599">
        <v>49</v>
      </c>
      <c r="C599">
        <f t="shared" si="54"/>
        <v>2022</v>
      </c>
      <c r="D599" t="str">
        <f t="shared" si="55"/>
        <v>September</v>
      </c>
      <c r="E599">
        <f t="shared" si="56"/>
        <v>9</v>
      </c>
      <c r="F599" t="str">
        <f t="shared" si="57"/>
        <v>Sept 2022</v>
      </c>
      <c r="G599" t="str">
        <f t="shared" si="58"/>
        <v>Q3</v>
      </c>
      <c r="H599">
        <f>IF(AirQuality[[#This Row],[pm25  (ug/m3)]]&gt;15,1,0)</f>
        <v>1</v>
      </c>
      <c r="I599" t="str">
        <f t="shared" si="59"/>
        <v>unsafe</v>
      </c>
      <c r="J599">
        <f>IF(AirQuality[[#This Row],[Air Quality Status]]="unsafe",J598+1,0)</f>
        <v>247</v>
      </c>
    </row>
    <row r="600" spans="1:10" x14ac:dyDescent="0.3">
      <c r="A600" s="1">
        <v>44818</v>
      </c>
      <c r="B600">
        <v>57</v>
      </c>
      <c r="C600">
        <f t="shared" si="54"/>
        <v>2022</v>
      </c>
      <c r="D600" t="str">
        <f t="shared" si="55"/>
        <v>September</v>
      </c>
      <c r="E600">
        <f t="shared" si="56"/>
        <v>9</v>
      </c>
      <c r="F600" t="str">
        <f t="shared" si="57"/>
        <v>Sept 2022</v>
      </c>
      <c r="G600" t="str">
        <f t="shared" si="58"/>
        <v>Q3</v>
      </c>
      <c r="H600">
        <f>IF(AirQuality[[#This Row],[pm25  (ug/m3)]]&gt;15,1,0)</f>
        <v>1</v>
      </c>
      <c r="I600" t="str">
        <f t="shared" si="59"/>
        <v>unsafe</v>
      </c>
      <c r="J600">
        <f>IF(AirQuality[[#This Row],[Air Quality Status]]="unsafe",J599+1,0)</f>
        <v>248</v>
      </c>
    </row>
    <row r="601" spans="1:10" x14ac:dyDescent="0.3">
      <c r="A601" s="1">
        <v>44819</v>
      </c>
      <c r="B601">
        <v>47</v>
      </c>
      <c r="C601">
        <f t="shared" si="54"/>
        <v>2022</v>
      </c>
      <c r="D601" t="str">
        <f t="shared" si="55"/>
        <v>September</v>
      </c>
      <c r="E601">
        <f t="shared" si="56"/>
        <v>9</v>
      </c>
      <c r="F601" t="str">
        <f t="shared" si="57"/>
        <v>Sept 2022</v>
      </c>
      <c r="G601" t="str">
        <f t="shared" si="58"/>
        <v>Q3</v>
      </c>
      <c r="H601">
        <f>IF(AirQuality[[#This Row],[pm25  (ug/m3)]]&gt;15,1,0)</f>
        <v>1</v>
      </c>
      <c r="I601" t="str">
        <f t="shared" si="59"/>
        <v>unsafe</v>
      </c>
      <c r="J601">
        <f>IF(AirQuality[[#This Row],[Air Quality Status]]="unsafe",J600+1,0)</f>
        <v>249</v>
      </c>
    </row>
    <row r="602" spans="1:10" x14ac:dyDescent="0.3">
      <c r="A602" s="1">
        <v>44820</v>
      </c>
      <c r="B602">
        <v>38</v>
      </c>
      <c r="C602">
        <f t="shared" si="54"/>
        <v>2022</v>
      </c>
      <c r="D602" t="str">
        <f t="shared" si="55"/>
        <v>September</v>
      </c>
      <c r="E602">
        <f t="shared" si="56"/>
        <v>9</v>
      </c>
      <c r="F602" t="str">
        <f t="shared" si="57"/>
        <v>Sept 2022</v>
      </c>
      <c r="G602" t="str">
        <f t="shared" si="58"/>
        <v>Q3</v>
      </c>
      <c r="H602">
        <f>IF(AirQuality[[#This Row],[pm25  (ug/m3)]]&gt;15,1,0)</f>
        <v>1</v>
      </c>
      <c r="I602" t="str">
        <f t="shared" si="59"/>
        <v>unsafe</v>
      </c>
      <c r="J602">
        <f>IF(AirQuality[[#This Row],[Air Quality Status]]="unsafe",J601+1,0)</f>
        <v>250</v>
      </c>
    </row>
    <row r="603" spans="1:10" x14ac:dyDescent="0.3">
      <c r="A603" s="1">
        <v>44821</v>
      </c>
      <c r="B603">
        <v>60</v>
      </c>
      <c r="C603">
        <f t="shared" si="54"/>
        <v>2022</v>
      </c>
      <c r="D603" t="str">
        <f t="shared" si="55"/>
        <v>September</v>
      </c>
      <c r="E603">
        <f t="shared" si="56"/>
        <v>9</v>
      </c>
      <c r="F603" t="str">
        <f t="shared" si="57"/>
        <v>Sept 2022</v>
      </c>
      <c r="G603" t="str">
        <f t="shared" si="58"/>
        <v>Q3</v>
      </c>
      <c r="H603">
        <f>IF(AirQuality[[#This Row],[pm25  (ug/m3)]]&gt;15,1,0)</f>
        <v>1</v>
      </c>
      <c r="I603" t="str">
        <f t="shared" si="59"/>
        <v>unsafe</v>
      </c>
      <c r="J603">
        <f>IF(AirQuality[[#This Row],[Air Quality Status]]="unsafe",J602+1,0)</f>
        <v>251</v>
      </c>
    </row>
    <row r="604" spans="1:10" x14ac:dyDescent="0.3">
      <c r="A604" s="1">
        <v>44822</v>
      </c>
      <c r="B604">
        <v>46</v>
      </c>
      <c r="C604">
        <f t="shared" si="54"/>
        <v>2022</v>
      </c>
      <c r="D604" t="str">
        <f t="shared" si="55"/>
        <v>September</v>
      </c>
      <c r="E604">
        <f t="shared" si="56"/>
        <v>9</v>
      </c>
      <c r="F604" t="str">
        <f t="shared" si="57"/>
        <v>Sept 2022</v>
      </c>
      <c r="G604" t="str">
        <f t="shared" si="58"/>
        <v>Q3</v>
      </c>
      <c r="H604">
        <f>IF(AirQuality[[#This Row],[pm25  (ug/m3)]]&gt;15,1,0)</f>
        <v>1</v>
      </c>
      <c r="I604" t="str">
        <f t="shared" si="59"/>
        <v>unsafe</v>
      </c>
      <c r="J604">
        <f>IF(AirQuality[[#This Row],[Air Quality Status]]="unsafe",J603+1,0)</f>
        <v>252</v>
      </c>
    </row>
    <row r="605" spans="1:10" x14ac:dyDescent="0.3">
      <c r="A605" s="1">
        <v>44823</v>
      </c>
      <c r="B605">
        <v>51</v>
      </c>
      <c r="C605">
        <f t="shared" si="54"/>
        <v>2022</v>
      </c>
      <c r="D605" t="str">
        <f t="shared" si="55"/>
        <v>September</v>
      </c>
      <c r="E605">
        <f t="shared" si="56"/>
        <v>9</v>
      </c>
      <c r="F605" t="str">
        <f t="shared" si="57"/>
        <v>Sept 2022</v>
      </c>
      <c r="G605" t="str">
        <f t="shared" si="58"/>
        <v>Q3</v>
      </c>
      <c r="H605">
        <f>IF(AirQuality[[#This Row],[pm25  (ug/m3)]]&gt;15,1,0)</f>
        <v>1</v>
      </c>
      <c r="I605" t="str">
        <f t="shared" si="59"/>
        <v>unsafe</v>
      </c>
      <c r="J605">
        <f>IF(AirQuality[[#This Row],[Air Quality Status]]="unsafe",J604+1,0)</f>
        <v>253</v>
      </c>
    </row>
    <row r="606" spans="1:10" x14ac:dyDescent="0.3">
      <c r="A606" s="1">
        <v>44824</v>
      </c>
      <c r="B606">
        <v>55</v>
      </c>
      <c r="C606">
        <f t="shared" si="54"/>
        <v>2022</v>
      </c>
      <c r="D606" t="str">
        <f t="shared" si="55"/>
        <v>September</v>
      </c>
      <c r="E606">
        <f t="shared" si="56"/>
        <v>9</v>
      </c>
      <c r="F606" t="str">
        <f t="shared" si="57"/>
        <v>Sept 2022</v>
      </c>
      <c r="G606" t="str">
        <f t="shared" si="58"/>
        <v>Q3</v>
      </c>
      <c r="H606">
        <f>IF(AirQuality[[#This Row],[pm25  (ug/m3)]]&gt;15,1,0)</f>
        <v>1</v>
      </c>
      <c r="I606" t="str">
        <f t="shared" si="59"/>
        <v>unsafe</v>
      </c>
      <c r="J606">
        <f>IF(AirQuality[[#This Row],[Air Quality Status]]="unsafe",J605+1,0)</f>
        <v>254</v>
      </c>
    </row>
    <row r="607" spans="1:10" x14ac:dyDescent="0.3">
      <c r="A607" s="1">
        <v>44825</v>
      </c>
      <c r="B607">
        <v>65</v>
      </c>
      <c r="C607">
        <f t="shared" si="54"/>
        <v>2022</v>
      </c>
      <c r="D607" t="str">
        <f t="shared" si="55"/>
        <v>September</v>
      </c>
      <c r="E607">
        <f t="shared" si="56"/>
        <v>9</v>
      </c>
      <c r="F607" t="str">
        <f t="shared" si="57"/>
        <v>Sept 2022</v>
      </c>
      <c r="G607" t="str">
        <f t="shared" si="58"/>
        <v>Q3</v>
      </c>
      <c r="H607">
        <f>IF(AirQuality[[#This Row],[pm25  (ug/m3)]]&gt;15,1,0)</f>
        <v>1</v>
      </c>
      <c r="I607" t="str">
        <f t="shared" si="59"/>
        <v>unsafe</v>
      </c>
      <c r="J607">
        <f>IF(AirQuality[[#This Row],[Air Quality Status]]="unsafe",J606+1,0)</f>
        <v>255</v>
      </c>
    </row>
    <row r="608" spans="1:10" x14ac:dyDescent="0.3">
      <c r="A608" s="1">
        <v>44826</v>
      </c>
      <c r="B608">
        <v>67</v>
      </c>
      <c r="C608">
        <f t="shared" si="54"/>
        <v>2022</v>
      </c>
      <c r="D608" t="str">
        <f t="shared" si="55"/>
        <v>September</v>
      </c>
      <c r="E608">
        <f t="shared" si="56"/>
        <v>9</v>
      </c>
      <c r="F608" t="str">
        <f t="shared" si="57"/>
        <v>Sept 2022</v>
      </c>
      <c r="G608" t="str">
        <f t="shared" si="58"/>
        <v>Q3</v>
      </c>
      <c r="H608">
        <f>IF(AirQuality[[#This Row],[pm25  (ug/m3)]]&gt;15,1,0)</f>
        <v>1</v>
      </c>
      <c r="I608" t="str">
        <f t="shared" si="59"/>
        <v>unsafe</v>
      </c>
      <c r="J608">
        <f>IF(AirQuality[[#This Row],[Air Quality Status]]="unsafe",J607+1,0)</f>
        <v>256</v>
      </c>
    </row>
    <row r="609" spans="1:10" x14ac:dyDescent="0.3">
      <c r="A609" s="1">
        <v>44827</v>
      </c>
      <c r="B609">
        <v>59</v>
      </c>
      <c r="C609">
        <f t="shared" si="54"/>
        <v>2022</v>
      </c>
      <c r="D609" t="str">
        <f t="shared" si="55"/>
        <v>September</v>
      </c>
      <c r="E609">
        <f t="shared" si="56"/>
        <v>9</v>
      </c>
      <c r="F609" t="str">
        <f t="shared" si="57"/>
        <v>Sept 2022</v>
      </c>
      <c r="G609" t="str">
        <f t="shared" si="58"/>
        <v>Q3</v>
      </c>
      <c r="H609">
        <f>IF(AirQuality[[#This Row],[pm25  (ug/m3)]]&gt;15,1,0)</f>
        <v>1</v>
      </c>
      <c r="I609" t="str">
        <f t="shared" si="59"/>
        <v>unsafe</v>
      </c>
      <c r="J609">
        <f>IF(AirQuality[[#This Row],[Air Quality Status]]="unsafe",J608+1,0)</f>
        <v>257</v>
      </c>
    </row>
    <row r="610" spans="1:10" x14ac:dyDescent="0.3">
      <c r="A610" s="1">
        <v>44828</v>
      </c>
      <c r="B610">
        <v>50</v>
      </c>
      <c r="C610">
        <f t="shared" si="54"/>
        <v>2022</v>
      </c>
      <c r="D610" t="str">
        <f t="shared" si="55"/>
        <v>September</v>
      </c>
      <c r="E610">
        <f t="shared" si="56"/>
        <v>9</v>
      </c>
      <c r="F610" t="str">
        <f t="shared" si="57"/>
        <v>Sept 2022</v>
      </c>
      <c r="G610" t="str">
        <f t="shared" si="58"/>
        <v>Q3</v>
      </c>
      <c r="H610">
        <f>IF(AirQuality[[#This Row],[pm25  (ug/m3)]]&gt;15,1,0)</f>
        <v>1</v>
      </c>
      <c r="I610" t="str">
        <f t="shared" si="59"/>
        <v>unsafe</v>
      </c>
      <c r="J610">
        <f>IF(AirQuality[[#This Row],[Air Quality Status]]="unsafe",J609+1,0)</f>
        <v>258</v>
      </c>
    </row>
    <row r="611" spans="1:10" x14ac:dyDescent="0.3">
      <c r="A611" s="1">
        <v>44829</v>
      </c>
      <c r="B611">
        <v>47</v>
      </c>
      <c r="C611">
        <f t="shared" si="54"/>
        <v>2022</v>
      </c>
      <c r="D611" t="str">
        <f t="shared" si="55"/>
        <v>September</v>
      </c>
      <c r="E611">
        <f t="shared" si="56"/>
        <v>9</v>
      </c>
      <c r="F611" t="str">
        <f t="shared" si="57"/>
        <v>Sept 2022</v>
      </c>
      <c r="G611" t="str">
        <f t="shared" si="58"/>
        <v>Q3</v>
      </c>
      <c r="H611">
        <f>IF(AirQuality[[#This Row],[pm25  (ug/m3)]]&gt;15,1,0)</f>
        <v>1</v>
      </c>
      <c r="I611" t="str">
        <f t="shared" si="59"/>
        <v>unsafe</v>
      </c>
      <c r="J611">
        <f>IF(AirQuality[[#This Row],[Air Quality Status]]="unsafe",J610+1,0)</f>
        <v>259</v>
      </c>
    </row>
    <row r="612" spans="1:10" x14ac:dyDescent="0.3">
      <c r="A612" s="1">
        <v>44830</v>
      </c>
      <c r="B612">
        <v>48</v>
      </c>
      <c r="C612">
        <f t="shared" si="54"/>
        <v>2022</v>
      </c>
      <c r="D612" t="str">
        <f t="shared" si="55"/>
        <v>September</v>
      </c>
      <c r="E612">
        <f t="shared" si="56"/>
        <v>9</v>
      </c>
      <c r="F612" t="str">
        <f t="shared" si="57"/>
        <v>Sept 2022</v>
      </c>
      <c r="G612" t="str">
        <f t="shared" si="58"/>
        <v>Q3</v>
      </c>
      <c r="H612">
        <f>IF(AirQuality[[#This Row],[pm25  (ug/m3)]]&gt;15,1,0)</f>
        <v>1</v>
      </c>
      <c r="I612" t="str">
        <f t="shared" si="59"/>
        <v>unsafe</v>
      </c>
      <c r="J612">
        <f>IF(AirQuality[[#This Row],[Air Quality Status]]="unsafe",J611+1,0)</f>
        <v>260</v>
      </c>
    </row>
    <row r="613" spans="1:10" x14ac:dyDescent="0.3">
      <c r="A613" s="1">
        <v>44831</v>
      </c>
      <c r="B613">
        <v>56</v>
      </c>
      <c r="C613">
        <f t="shared" si="54"/>
        <v>2022</v>
      </c>
      <c r="D613" t="str">
        <f t="shared" si="55"/>
        <v>September</v>
      </c>
      <c r="E613">
        <f t="shared" si="56"/>
        <v>9</v>
      </c>
      <c r="F613" t="str">
        <f t="shared" si="57"/>
        <v>Sept 2022</v>
      </c>
      <c r="G613" t="str">
        <f t="shared" si="58"/>
        <v>Q3</v>
      </c>
      <c r="H613">
        <f>IF(AirQuality[[#This Row],[pm25  (ug/m3)]]&gt;15,1,0)</f>
        <v>1</v>
      </c>
      <c r="I613" t="str">
        <f t="shared" si="59"/>
        <v>unsafe</v>
      </c>
      <c r="J613">
        <f>IF(AirQuality[[#This Row],[Air Quality Status]]="unsafe",J612+1,0)</f>
        <v>261</v>
      </c>
    </row>
    <row r="614" spans="1:10" x14ac:dyDescent="0.3">
      <c r="A614" s="1">
        <v>44832</v>
      </c>
      <c r="B614">
        <v>55</v>
      </c>
      <c r="C614">
        <f t="shared" si="54"/>
        <v>2022</v>
      </c>
      <c r="D614" t="str">
        <f t="shared" si="55"/>
        <v>September</v>
      </c>
      <c r="E614">
        <f t="shared" si="56"/>
        <v>9</v>
      </c>
      <c r="F614" t="str">
        <f t="shared" si="57"/>
        <v>Sept 2022</v>
      </c>
      <c r="G614" t="str">
        <f t="shared" si="58"/>
        <v>Q3</v>
      </c>
      <c r="H614">
        <f>IF(AirQuality[[#This Row],[pm25  (ug/m3)]]&gt;15,1,0)</f>
        <v>1</v>
      </c>
      <c r="I614" t="str">
        <f t="shared" si="59"/>
        <v>unsafe</v>
      </c>
      <c r="J614">
        <f>IF(AirQuality[[#This Row],[Air Quality Status]]="unsafe",J613+1,0)</f>
        <v>262</v>
      </c>
    </row>
    <row r="615" spans="1:10" x14ac:dyDescent="0.3">
      <c r="A615" s="1">
        <v>44833</v>
      </c>
      <c r="B615">
        <v>64</v>
      </c>
      <c r="C615">
        <f t="shared" si="54"/>
        <v>2022</v>
      </c>
      <c r="D615" t="str">
        <f t="shared" si="55"/>
        <v>September</v>
      </c>
      <c r="E615">
        <f t="shared" si="56"/>
        <v>9</v>
      </c>
      <c r="F615" t="str">
        <f t="shared" si="57"/>
        <v>Sept 2022</v>
      </c>
      <c r="G615" t="str">
        <f t="shared" si="58"/>
        <v>Q3</v>
      </c>
      <c r="H615">
        <f>IF(AirQuality[[#This Row],[pm25  (ug/m3)]]&gt;15,1,0)</f>
        <v>1</v>
      </c>
      <c r="I615" t="str">
        <f t="shared" si="59"/>
        <v>unsafe</v>
      </c>
      <c r="J615">
        <f>IF(AirQuality[[#This Row],[Air Quality Status]]="unsafe",J614+1,0)</f>
        <v>263</v>
      </c>
    </row>
    <row r="616" spans="1:10" x14ac:dyDescent="0.3">
      <c r="A616" s="1">
        <v>44834</v>
      </c>
      <c r="B616">
        <v>43</v>
      </c>
      <c r="C616">
        <f t="shared" si="54"/>
        <v>2022</v>
      </c>
      <c r="D616" t="str">
        <f t="shared" si="55"/>
        <v>September</v>
      </c>
      <c r="E616">
        <f t="shared" si="56"/>
        <v>9</v>
      </c>
      <c r="F616" t="str">
        <f t="shared" si="57"/>
        <v>Sept 2022</v>
      </c>
      <c r="G616" t="str">
        <f t="shared" si="58"/>
        <v>Q3</v>
      </c>
      <c r="H616">
        <f>IF(AirQuality[[#This Row],[pm25  (ug/m3)]]&gt;15,1,0)</f>
        <v>1</v>
      </c>
      <c r="I616" t="str">
        <f t="shared" si="59"/>
        <v>unsafe</v>
      </c>
      <c r="J616">
        <f>IF(AirQuality[[#This Row],[Air Quality Status]]="unsafe",J615+1,0)</f>
        <v>264</v>
      </c>
    </row>
    <row r="617" spans="1:10" x14ac:dyDescent="0.3">
      <c r="A617" s="1">
        <v>44835</v>
      </c>
      <c r="B617">
        <v>33</v>
      </c>
      <c r="C617">
        <f t="shared" si="54"/>
        <v>2022</v>
      </c>
      <c r="D617" t="str">
        <f t="shared" si="55"/>
        <v>October</v>
      </c>
      <c r="E617">
        <f t="shared" si="56"/>
        <v>10</v>
      </c>
      <c r="F617" t="str">
        <f t="shared" si="57"/>
        <v>Oct 2022</v>
      </c>
      <c r="G617" t="str">
        <f t="shared" si="58"/>
        <v>Q4</v>
      </c>
      <c r="H617">
        <f>IF(AirQuality[[#This Row],[pm25  (ug/m3)]]&gt;15,1,0)</f>
        <v>1</v>
      </c>
      <c r="I617" t="str">
        <f t="shared" si="59"/>
        <v>unsafe</v>
      </c>
      <c r="J617">
        <f>IF(AirQuality[[#This Row],[Air Quality Status]]="unsafe",J616+1,0)</f>
        <v>265</v>
      </c>
    </row>
    <row r="618" spans="1:10" x14ac:dyDescent="0.3">
      <c r="A618" s="1">
        <v>44836</v>
      </c>
      <c r="B618">
        <v>51</v>
      </c>
      <c r="C618">
        <f t="shared" si="54"/>
        <v>2022</v>
      </c>
      <c r="D618" t="str">
        <f t="shared" si="55"/>
        <v>October</v>
      </c>
      <c r="E618">
        <f t="shared" si="56"/>
        <v>10</v>
      </c>
      <c r="F618" t="str">
        <f t="shared" si="57"/>
        <v>Oct 2022</v>
      </c>
      <c r="G618" t="str">
        <f t="shared" si="58"/>
        <v>Q4</v>
      </c>
      <c r="H618">
        <f>IF(AirQuality[[#This Row],[pm25  (ug/m3)]]&gt;15,1,0)</f>
        <v>1</v>
      </c>
      <c r="I618" t="str">
        <f t="shared" si="59"/>
        <v>unsafe</v>
      </c>
      <c r="J618">
        <f>IF(AirQuality[[#This Row],[Air Quality Status]]="unsafe",J617+1,0)</f>
        <v>266</v>
      </c>
    </row>
    <row r="619" spans="1:10" x14ac:dyDescent="0.3">
      <c r="A619" s="1">
        <v>44837</v>
      </c>
      <c r="B619">
        <v>63</v>
      </c>
      <c r="C619">
        <f t="shared" si="54"/>
        <v>2022</v>
      </c>
      <c r="D619" t="str">
        <f t="shared" si="55"/>
        <v>October</v>
      </c>
      <c r="E619">
        <f t="shared" si="56"/>
        <v>10</v>
      </c>
      <c r="F619" t="str">
        <f t="shared" si="57"/>
        <v>Oct 2022</v>
      </c>
      <c r="G619" t="str">
        <f t="shared" si="58"/>
        <v>Q4</v>
      </c>
      <c r="H619">
        <f>IF(AirQuality[[#This Row],[pm25  (ug/m3)]]&gt;15,1,0)</f>
        <v>1</v>
      </c>
      <c r="I619" t="str">
        <f t="shared" si="59"/>
        <v>unsafe</v>
      </c>
      <c r="J619">
        <f>IF(AirQuality[[#This Row],[Air Quality Status]]="unsafe",J618+1,0)</f>
        <v>267</v>
      </c>
    </row>
    <row r="620" spans="1:10" x14ac:dyDescent="0.3">
      <c r="A620" s="1">
        <v>44838</v>
      </c>
      <c r="B620">
        <v>37</v>
      </c>
      <c r="C620">
        <f t="shared" si="54"/>
        <v>2022</v>
      </c>
      <c r="D620" t="str">
        <f t="shared" si="55"/>
        <v>October</v>
      </c>
      <c r="E620">
        <f t="shared" si="56"/>
        <v>10</v>
      </c>
      <c r="F620" t="str">
        <f t="shared" si="57"/>
        <v>Oct 2022</v>
      </c>
      <c r="G620" t="str">
        <f t="shared" si="58"/>
        <v>Q4</v>
      </c>
      <c r="H620">
        <f>IF(AirQuality[[#This Row],[pm25  (ug/m3)]]&gt;15,1,0)</f>
        <v>1</v>
      </c>
      <c r="I620" t="str">
        <f t="shared" si="59"/>
        <v>unsafe</v>
      </c>
      <c r="J620">
        <f>IF(AirQuality[[#This Row],[Air Quality Status]]="unsafe",J619+1,0)</f>
        <v>268</v>
      </c>
    </row>
    <row r="621" spans="1:10" x14ac:dyDescent="0.3">
      <c r="A621" s="1">
        <v>44839</v>
      </c>
      <c r="B621">
        <v>63</v>
      </c>
      <c r="C621">
        <f t="shared" si="54"/>
        <v>2022</v>
      </c>
      <c r="D621" t="str">
        <f t="shared" si="55"/>
        <v>October</v>
      </c>
      <c r="E621">
        <f t="shared" si="56"/>
        <v>10</v>
      </c>
      <c r="F621" t="str">
        <f t="shared" si="57"/>
        <v>Oct 2022</v>
      </c>
      <c r="G621" t="str">
        <f t="shared" si="58"/>
        <v>Q4</v>
      </c>
      <c r="H621">
        <f>IF(AirQuality[[#This Row],[pm25  (ug/m3)]]&gt;15,1,0)</f>
        <v>1</v>
      </c>
      <c r="I621" t="str">
        <f t="shared" si="59"/>
        <v>unsafe</v>
      </c>
      <c r="J621">
        <f>IF(AirQuality[[#This Row],[Air Quality Status]]="unsafe",J620+1,0)</f>
        <v>269</v>
      </c>
    </row>
    <row r="622" spans="1:10" x14ac:dyDescent="0.3">
      <c r="A622" s="1">
        <v>44905</v>
      </c>
      <c r="B622">
        <v>136</v>
      </c>
      <c r="C622">
        <f t="shared" si="54"/>
        <v>2022</v>
      </c>
      <c r="D622" t="str">
        <f t="shared" si="55"/>
        <v>December</v>
      </c>
      <c r="E622">
        <f t="shared" si="56"/>
        <v>12</v>
      </c>
      <c r="F622" t="str">
        <f t="shared" si="57"/>
        <v>Dec 2022</v>
      </c>
      <c r="G622" t="str">
        <f t="shared" si="58"/>
        <v>Q4</v>
      </c>
      <c r="H622">
        <f>IF(AirQuality[[#This Row],[pm25  (ug/m3)]]&gt;15,1,0)</f>
        <v>1</v>
      </c>
      <c r="I622" t="str">
        <f t="shared" si="59"/>
        <v>unsafe</v>
      </c>
      <c r="J622">
        <f>IF(AirQuality[[#This Row],[Air Quality Status]]="unsafe",J621+1,0)</f>
        <v>270</v>
      </c>
    </row>
    <row r="623" spans="1:10" x14ac:dyDescent="0.3">
      <c r="A623" s="1">
        <v>44907</v>
      </c>
      <c r="B623">
        <v>109</v>
      </c>
      <c r="C623">
        <f t="shared" si="54"/>
        <v>2022</v>
      </c>
      <c r="D623" t="str">
        <f t="shared" si="55"/>
        <v>December</v>
      </c>
      <c r="E623">
        <f t="shared" si="56"/>
        <v>12</v>
      </c>
      <c r="F623" t="str">
        <f t="shared" si="57"/>
        <v>Dec 2022</v>
      </c>
      <c r="G623" t="str">
        <f t="shared" si="58"/>
        <v>Q4</v>
      </c>
      <c r="H623">
        <f>IF(AirQuality[[#This Row],[pm25  (ug/m3)]]&gt;15,1,0)</f>
        <v>1</v>
      </c>
      <c r="I623" t="str">
        <f t="shared" si="59"/>
        <v>unsafe</v>
      </c>
      <c r="J623">
        <f>IF(AirQuality[[#This Row],[Air Quality Status]]="unsafe",J622+1,0)</f>
        <v>271</v>
      </c>
    </row>
    <row r="624" spans="1:10" x14ac:dyDescent="0.3">
      <c r="A624" s="1">
        <v>44908</v>
      </c>
      <c r="B624">
        <v>136</v>
      </c>
      <c r="C624">
        <f t="shared" si="54"/>
        <v>2022</v>
      </c>
      <c r="D624" t="str">
        <f t="shared" si="55"/>
        <v>December</v>
      </c>
      <c r="E624">
        <f t="shared" si="56"/>
        <v>12</v>
      </c>
      <c r="F624" t="str">
        <f t="shared" si="57"/>
        <v>Dec 2022</v>
      </c>
      <c r="G624" t="str">
        <f t="shared" si="58"/>
        <v>Q4</v>
      </c>
      <c r="H624">
        <f>IF(AirQuality[[#This Row],[pm25  (ug/m3)]]&gt;15,1,0)</f>
        <v>1</v>
      </c>
      <c r="I624" t="str">
        <f t="shared" si="59"/>
        <v>unsafe</v>
      </c>
      <c r="J624">
        <f>IF(AirQuality[[#This Row],[Air Quality Status]]="unsafe",J623+1,0)</f>
        <v>272</v>
      </c>
    </row>
    <row r="625" spans="1:10" x14ac:dyDescent="0.3">
      <c r="A625" s="1">
        <v>44909</v>
      </c>
      <c r="B625">
        <v>160</v>
      </c>
      <c r="C625">
        <f t="shared" si="54"/>
        <v>2022</v>
      </c>
      <c r="D625" t="str">
        <f t="shared" si="55"/>
        <v>December</v>
      </c>
      <c r="E625">
        <f t="shared" si="56"/>
        <v>12</v>
      </c>
      <c r="F625" t="str">
        <f t="shared" si="57"/>
        <v>Dec 2022</v>
      </c>
      <c r="G625" t="str">
        <f t="shared" si="58"/>
        <v>Q4</v>
      </c>
      <c r="H625">
        <f>IF(AirQuality[[#This Row],[pm25  (ug/m3)]]&gt;15,1,0)</f>
        <v>1</v>
      </c>
      <c r="I625" t="str">
        <f t="shared" si="59"/>
        <v>unsafe</v>
      </c>
      <c r="J625">
        <f>IF(AirQuality[[#This Row],[Air Quality Status]]="unsafe",J624+1,0)</f>
        <v>273</v>
      </c>
    </row>
    <row r="626" spans="1:10" x14ac:dyDescent="0.3">
      <c r="A626" s="1">
        <v>44910</v>
      </c>
      <c r="B626">
        <v>154</v>
      </c>
      <c r="C626">
        <f t="shared" si="54"/>
        <v>2022</v>
      </c>
      <c r="D626" t="str">
        <f t="shared" si="55"/>
        <v>December</v>
      </c>
      <c r="E626">
        <f t="shared" si="56"/>
        <v>12</v>
      </c>
      <c r="F626" t="str">
        <f t="shared" si="57"/>
        <v>Dec 2022</v>
      </c>
      <c r="G626" t="str">
        <f t="shared" si="58"/>
        <v>Q4</v>
      </c>
      <c r="H626">
        <f>IF(AirQuality[[#This Row],[pm25  (ug/m3)]]&gt;15,1,0)</f>
        <v>1</v>
      </c>
      <c r="I626" t="str">
        <f t="shared" si="59"/>
        <v>unsafe</v>
      </c>
      <c r="J626">
        <f>IF(AirQuality[[#This Row],[Air Quality Status]]="unsafe",J625+1,0)</f>
        <v>274</v>
      </c>
    </row>
    <row r="627" spans="1:10" x14ac:dyDescent="0.3">
      <c r="A627" s="1">
        <v>44911</v>
      </c>
      <c r="B627">
        <v>167</v>
      </c>
      <c r="C627">
        <f t="shared" si="54"/>
        <v>2022</v>
      </c>
      <c r="D627" t="str">
        <f t="shared" si="55"/>
        <v>December</v>
      </c>
      <c r="E627">
        <f t="shared" si="56"/>
        <v>12</v>
      </c>
      <c r="F627" t="str">
        <f t="shared" si="57"/>
        <v>Dec 2022</v>
      </c>
      <c r="G627" t="str">
        <f t="shared" si="58"/>
        <v>Q4</v>
      </c>
      <c r="H627">
        <f>IF(AirQuality[[#This Row],[pm25  (ug/m3)]]&gt;15,1,0)</f>
        <v>1</v>
      </c>
      <c r="I627" t="str">
        <f t="shared" si="59"/>
        <v>unsafe</v>
      </c>
      <c r="J627">
        <f>IF(AirQuality[[#This Row],[Air Quality Status]]="unsafe",J626+1,0)</f>
        <v>275</v>
      </c>
    </row>
    <row r="628" spans="1:10" x14ac:dyDescent="0.3">
      <c r="A628" s="1">
        <v>44926</v>
      </c>
      <c r="B628">
        <v>288</v>
      </c>
      <c r="C628">
        <f t="shared" si="54"/>
        <v>2022</v>
      </c>
      <c r="D628" t="str">
        <f t="shared" si="55"/>
        <v>December</v>
      </c>
      <c r="E628">
        <f t="shared" si="56"/>
        <v>12</v>
      </c>
      <c r="F628" t="str">
        <f t="shared" si="57"/>
        <v>Dec 2022</v>
      </c>
      <c r="G628" t="str">
        <f t="shared" si="58"/>
        <v>Q4</v>
      </c>
      <c r="H628">
        <f>IF(AirQuality[[#This Row],[pm25  (ug/m3)]]&gt;15,1,0)</f>
        <v>1</v>
      </c>
      <c r="I628" t="str">
        <f t="shared" si="59"/>
        <v>unsafe</v>
      </c>
      <c r="J628">
        <f>IF(AirQuality[[#This Row],[Air Quality Status]]="unsafe",J627+1,0)</f>
        <v>276</v>
      </c>
    </row>
    <row r="629" spans="1:10" x14ac:dyDescent="0.3">
      <c r="A629" s="1">
        <v>44927</v>
      </c>
      <c r="B629">
        <v>386</v>
      </c>
      <c r="C629">
        <f t="shared" si="54"/>
        <v>2023</v>
      </c>
      <c r="D629" t="str">
        <f t="shared" si="55"/>
        <v>January</v>
      </c>
      <c r="E629">
        <f t="shared" si="56"/>
        <v>1</v>
      </c>
      <c r="F629" t="str">
        <f t="shared" si="57"/>
        <v>Jan 2023</v>
      </c>
      <c r="G629" t="str">
        <f t="shared" si="58"/>
        <v>Q1</v>
      </c>
      <c r="H629">
        <f>IF(AirQuality[[#This Row],[pm25  (ug/m3)]]&gt;15,1,0)</f>
        <v>1</v>
      </c>
      <c r="I629" t="str">
        <f t="shared" si="59"/>
        <v>unsafe</v>
      </c>
      <c r="J629">
        <f>IF(AirQuality[[#This Row],[Air Quality Status]]="unsafe",J628+1,0)</f>
        <v>277</v>
      </c>
    </row>
    <row r="630" spans="1:10" x14ac:dyDescent="0.3">
      <c r="A630" s="1">
        <v>44928</v>
      </c>
      <c r="B630">
        <v>345</v>
      </c>
      <c r="C630">
        <f t="shared" si="54"/>
        <v>2023</v>
      </c>
      <c r="D630" t="str">
        <f t="shared" si="55"/>
        <v>January</v>
      </c>
      <c r="E630">
        <f t="shared" si="56"/>
        <v>1</v>
      </c>
      <c r="F630" t="str">
        <f t="shared" si="57"/>
        <v>Jan 2023</v>
      </c>
      <c r="G630" t="str">
        <f t="shared" si="58"/>
        <v>Q1</v>
      </c>
      <c r="H630">
        <f>IF(AirQuality[[#This Row],[pm25  (ug/m3)]]&gt;15,1,0)</f>
        <v>1</v>
      </c>
      <c r="I630" t="str">
        <f t="shared" si="59"/>
        <v>unsafe</v>
      </c>
      <c r="J630">
        <f>IF(AirQuality[[#This Row],[Air Quality Status]]="unsafe",J629+1,0)</f>
        <v>278</v>
      </c>
    </row>
    <row r="631" spans="1:10" x14ac:dyDescent="0.3">
      <c r="A631" s="1">
        <v>44929</v>
      </c>
      <c r="B631">
        <v>328</v>
      </c>
      <c r="C631">
        <f t="shared" si="54"/>
        <v>2023</v>
      </c>
      <c r="D631" t="str">
        <f t="shared" si="55"/>
        <v>January</v>
      </c>
      <c r="E631">
        <f t="shared" si="56"/>
        <v>1</v>
      </c>
      <c r="F631" t="str">
        <f t="shared" si="57"/>
        <v>Jan 2023</v>
      </c>
      <c r="G631" t="str">
        <f t="shared" si="58"/>
        <v>Q1</v>
      </c>
      <c r="H631">
        <f>IF(AirQuality[[#This Row],[pm25  (ug/m3)]]&gt;15,1,0)</f>
        <v>1</v>
      </c>
      <c r="I631" t="str">
        <f t="shared" si="59"/>
        <v>unsafe</v>
      </c>
      <c r="J631">
        <f>IF(AirQuality[[#This Row],[Air Quality Status]]="unsafe",J630+1,0)</f>
        <v>279</v>
      </c>
    </row>
    <row r="632" spans="1:10" x14ac:dyDescent="0.3">
      <c r="A632" s="1">
        <v>44930</v>
      </c>
      <c r="B632">
        <v>475</v>
      </c>
      <c r="C632">
        <f t="shared" si="54"/>
        <v>2023</v>
      </c>
      <c r="D632" t="str">
        <f t="shared" si="55"/>
        <v>January</v>
      </c>
      <c r="E632">
        <f t="shared" si="56"/>
        <v>1</v>
      </c>
      <c r="F632" t="str">
        <f t="shared" si="57"/>
        <v>Jan 2023</v>
      </c>
      <c r="G632" t="str">
        <f t="shared" si="58"/>
        <v>Q1</v>
      </c>
      <c r="H632">
        <f>IF(AirQuality[[#This Row],[pm25  (ug/m3)]]&gt;15,1,0)</f>
        <v>1</v>
      </c>
      <c r="I632" t="str">
        <f t="shared" si="59"/>
        <v>unsafe</v>
      </c>
      <c r="J632">
        <f>IF(AirQuality[[#This Row],[Air Quality Status]]="unsafe",J631+1,0)</f>
        <v>280</v>
      </c>
    </row>
    <row r="633" spans="1:10" x14ac:dyDescent="0.3">
      <c r="A633" s="1">
        <v>44938</v>
      </c>
      <c r="B633">
        <v>1</v>
      </c>
      <c r="C633">
        <f t="shared" si="54"/>
        <v>2023</v>
      </c>
      <c r="D633" t="str">
        <f t="shared" si="55"/>
        <v>January</v>
      </c>
      <c r="E633">
        <f t="shared" si="56"/>
        <v>1</v>
      </c>
      <c r="F633" t="str">
        <f t="shared" si="57"/>
        <v>Jan 2023</v>
      </c>
      <c r="G633" t="str">
        <f t="shared" si="58"/>
        <v>Q1</v>
      </c>
      <c r="H633">
        <f>IF(AirQuality[[#This Row],[pm25  (ug/m3)]]&gt;15,1,0)</f>
        <v>0</v>
      </c>
      <c r="I633" t="str">
        <f t="shared" si="59"/>
        <v>safe</v>
      </c>
      <c r="J633">
        <f>IF(AirQuality[[#This Row],[Air Quality Status]]="unsafe",J632+1,0)</f>
        <v>0</v>
      </c>
    </row>
    <row r="634" spans="1:10" x14ac:dyDescent="0.3">
      <c r="A634" s="1">
        <v>44939</v>
      </c>
      <c r="B634">
        <v>1</v>
      </c>
      <c r="C634">
        <f t="shared" si="54"/>
        <v>2023</v>
      </c>
      <c r="D634" t="str">
        <f t="shared" si="55"/>
        <v>January</v>
      </c>
      <c r="E634">
        <f t="shared" si="56"/>
        <v>1</v>
      </c>
      <c r="F634" t="str">
        <f t="shared" si="57"/>
        <v>Jan 2023</v>
      </c>
      <c r="G634" t="str">
        <f t="shared" si="58"/>
        <v>Q1</v>
      </c>
      <c r="H634">
        <f>IF(AirQuality[[#This Row],[pm25  (ug/m3)]]&gt;15,1,0)</f>
        <v>0</v>
      </c>
      <c r="I634" t="str">
        <f t="shared" si="59"/>
        <v>safe</v>
      </c>
      <c r="J634">
        <f>IF(AirQuality[[#This Row],[Air Quality Status]]="unsafe",J633+1,0)</f>
        <v>0</v>
      </c>
    </row>
    <row r="635" spans="1:10" x14ac:dyDescent="0.3">
      <c r="A635" s="1">
        <v>44943</v>
      </c>
      <c r="B635">
        <v>200</v>
      </c>
      <c r="C635">
        <f t="shared" si="54"/>
        <v>2023</v>
      </c>
      <c r="D635" t="str">
        <f t="shared" si="55"/>
        <v>January</v>
      </c>
      <c r="E635">
        <f t="shared" si="56"/>
        <v>1</v>
      </c>
      <c r="F635" t="str">
        <f t="shared" si="57"/>
        <v>Jan 2023</v>
      </c>
      <c r="G635" t="str">
        <f t="shared" si="58"/>
        <v>Q1</v>
      </c>
      <c r="H635">
        <f>IF(AirQuality[[#This Row],[pm25  (ug/m3)]]&gt;15,1,0)</f>
        <v>1</v>
      </c>
      <c r="I635" t="str">
        <f t="shared" si="59"/>
        <v>unsafe</v>
      </c>
      <c r="J635">
        <f>IF(AirQuality[[#This Row],[Air Quality Status]]="unsafe",J634+1,0)</f>
        <v>1</v>
      </c>
    </row>
    <row r="636" spans="1:10" x14ac:dyDescent="0.3">
      <c r="A636" s="1">
        <v>44951</v>
      </c>
      <c r="B636">
        <v>126</v>
      </c>
      <c r="C636">
        <f t="shared" si="54"/>
        <v>2023</v>
      </c>
      <c r="D636" t="str">
        <f t="shared" si="55"/>
        <v>January</v>
      </c>
      <c r="E636">
        <f t="shared" si="56"/>
        <v>1</v>
      </c>
      <c r="F636" t="str">
        <f t="shared" si="57"/>
        <v>Jan 2023</v>
      </c>
      <c r="G636" t="str">
        <f t="shared" si="58"/>
        <v>Q1</v>
      </c>
      <c r="H636">
        <f>IF(AirQuality[[#This Row],[pm25  (ug/m3)]]&gt;15,1,0)</f>
        <v>1</v>
      </c>
      <c r="I636" t="str">
        <f t="shared" si="59"/>
        <v>unsafe</v>
      </c>
      <c r="J636">
        <f>IF(AirQuality[[#This Row],[Air Quality Status]]="unsafe",J635+1,0)</f>
        <v>2</v>
      </c>
    </row>
    <row r="637" spans="1:10" x14ac:dyDescent="0.3">
      <c r="A637" s="1">
        <v>44991</v>
      </c>
      <c r="B637">
        <v>49</v>
      </c>
      <c r="C637">
        <f t="shared" si="54"/>
        <v>2023</v>
      </c>
      <c r="D637" t="str">
        <f t="shared" si="55"/>
        <v>March</v>
      </c>
      <c r="E637">
        <f t="shared" si="56"/>
        <v>3</v>
      </c>
      <c r="F637" t="str">
        <f t="shared" si="57"/>
        <v>Mar 2023</v>
      </c>
      <c r="G637" t="str">
        <f t="shared" si="58"/>
        <v>Q1</v>
      </c>
      <c r="H637">
        <f>IF(AirQuality[[#This Row],[pm25  (ug/m3)]]&gt;15,1,0)</f>
        <v>1</v>
      </c>
      <c r="I637" t="str">
        <f t="shared" si="59"/>
        <v>unsafe</v>
      </c>
      <c r="J637">
        <f>IF(AirQuality[[#This Row],[Air Quality Status]]="unsafe",J636+1,0)</f>
        <v>3</v>
      </c>
    </row>
    <row r="638" spans="1:10" x14ac:dyDescent="0.3">
      <c r="A638" s="1">
        <v>44992</v>
      </c>
      <c r="B638">
        <v>69</v>
      </c>
      <c r="C638">
        <f t="shared" si="54"/>
        <v>2023</v>
      </c>
      <c r="D638" t="str">
        <f t="shared" si="55"/>
        <v>March</v>
      </c>
      <c r="E638">
        <f t="shared" si="56"/>
        <v>3</v>
      </c>
      <c r="F638" t="str">
        <f t="shared" si="57"/>
        <v>Mar 2023</v>
      </c>
      <c r="G638" t="str">
        <f t="shared" si="58"/>
        <v>Q1</v>
      </c>
      <c r="H638">
        <f>IF(AirQuality[[#This Row],[pm25  (ug/m3)]]&gt;15,1,0)</f>
        <v>1</v>
      </c>
      <c r="I638" t="str">
        <f t="shared" si="59"/>
        <v>unsafe</v>
      </c>
      <c r="J638">
        <f>IF(AirQuality[[#This Row],[Air Quality Status]]="unsafe",J637+1,0)</f>
        <v>4</v>
      </c>
    </row>
    <row r="639" spans="1:10" x14ac:dyDescent="0.3">
      <c r="A639" s="1">
        <v>44993</v>
      </c>
      <c r="B639">
        <v>40</v>
      </c>
      <c r="C639">
        <f t="shared" si="54"/>
        <v>2023</v>
      </c>
      <c r="D639" t="str">
        <f t="shared" si="55"/>
        <v>March</v>
      </c>
      <c r="E639">
        <f t="shared" si="56"/>
        <v>3</v>
      </c>
      <c r="F639" t="str">
        <f t="shared" si="57"/>
        <v>Mar 2023</v>
      </c>
      <c r="G639" t="str">
        <f t="shared" si="58"/>
        <v>Q1</v>
      </c>
      <c r="H639">
        <f>IF(AirQuality[[#This Row],[pm25  (ug/m3)]]&gt;15,1,0)</f>
        <v>1</v>
      </c>
      <c r="I639" t="str">
        <f t="shared" si="59"/>
        <v>unsafe</v>
      </c>
      <c r="J639">
        <f>IF(AirQuality[[#This Row],[Air Quality Status]]="unsafe",J638+1,0)</f>
        <v>5</v>
      </c>
    </row>
    <row r="640" spans="1:10" x14ac:dyDescent="0.3">
      <c r="A640" s="1">
        <v>44994</v>
      </c>
      <c r="B640">
        <v>51</v>
      </c>
      <c r="C640">
        <f t="shared" si="54"/>
        <v>2023</v>
      </c>
      <c r="D640" t="str">
        <f t="shared" si="55"/>
        <v>March</v>
      </c>
      <c r="E640">
        <f t="shared" si="56"/>
        <v>3</v>
      </c>
      <c r="F640" t="str">
        <f t="shared" si="57"/>
        <v>Mar 2023</v>
      </c>
      <c r="G640" t="str">
        <f t="shared" si="58"/>
        <v>Q1</v>
      </c>
      <c r="H640">
        <f>IF(AirQuality[[#This Row],[pm25  (ug/m3)]]&gt;15,1,0)</f>
        <v>1</v>
      </c>
      <c r="I640" t="str">
        <f t="shared" si="59"/>
        <v>unsafe</v>
      </c>
      <c r="J640">
        <f>IF(AirQuality[[#This Row],[Air Quality Status]]="unsafe",J639+1,0)</f>
        <v>6</v>
      </c>
    </row>
    <row r="641" spans="1:10" x14ac:dyDescent="0.3">
      <c r="A641" s="1">
        <v>44995</v>
      </c>
      <c r="B641">
        <v>53</v>
      </c>
      <c r="C641">
        <f t="shared" si="54"/>
        <v>2023</v>
      </c>
      <c r="D641" t="str">
        <f t="shared" si="55"/>
        <v>March</v>
      </c>
      <c r="E641">
        <f t="shared" si="56"/>
        <v>3</v>
      </c>
      <c r="F641" t="str">
        <f t="shared" si="57"/>
        <v>Mar 2023</v>
      </c>
      <c r="G641" t="str">
        <f t="shared" si="58"/>
        <v>Q1</v>
      </c>
      <c r="H641">
        <f>IF(AirQuality[[#This Row],[pm25  (ug/m3)]]&gt;15,1,0)</f>
        <v>1</v>
      </c>
      <c r="I641" t="str">
        <f t="shared" si="59"/>
        <v>unsafe</v>
      </c>
      <c r="J641">
        <f>IF(AirQuality[[#This Row],[Air Quality Status]]="unsafe",J640+1,0)</f>
        <v>7</v>
      </c>
    </row>
    <row r="642" spans="1:10" x14ac:dyDescent="0.3">
      <c r="A642" s="1">
        <v>44996</v>
      </c>
      <c r="B642">
        <v>80</v>
      </c>
      <c r="C642">
        <f t="shared" ref="C642:C666" si="60">YEAR(A642)</f>
        <v>2023</v>
      </c>
      <c r="D642" t="str">
        <f t="shared" ref="D642:D666" si="61">TEXT(A642,"mmmm")</f>
        <v>March</v>
      </c>
      <c r="E642">
        <f t="shared" ref="E642:E666" si="62">MONTH(A642)</f>
        <v>3</v>
      </c>
      <c r="F642" t="str">
        <f t="shared" ref="F642:F666" si="63">TEXT(A642,"mmm yyyy")</f>
        <v>Mar 2023</v>
      </c>
      <c r="G642" t="str">
        <f t="shared" ref="G642:G666" si="64">"Q"&amp;ROUNDUP(MONTH(A642)/3,0)</f>
        <v>Q1</v>
      </c>
      <c r="H642">
        <f>IF(AirQuality[[#This Row],[pm25  (ug/m3)]]&gt;15,1,0)</f>
        <v>1</v>
      </c>
      <c r="I642" t="str">
        <f t="shared" ref="I642:I666" si="65">IF(B642&gt;15,"unsafe","safe")</f>
        <v>unsafe</v>
      </c>
      <c r="J642">
        <f>IF(AirQuality[[#This Row],[Air Quality Status]]="unsafe",J641+1,0)</f>
        <v>8</v>
      </c>
    </row>
    <row r="643" spans="1:10" x14ac:dyDescent="0.3">
      <c r="A643" s="1">
        <v>44997</v>
      </c>
      <c r="B643">
        <v>84</v>
      </c>
      <c r="C643">
        <f t="shared" si="60"/>
        <v>2023</v>
      </c>
      <c r="D643" t="str">
        <f t="shared" si="61"/>
        <v>March</v>
      </c>
      <c r="E643">
        <f t="shared" si="62"/>
        <v>3</v>
      </c>
      <c r="F643" t="str">
        <f t="shared" si="63"/>
        <v>Mar 2023</v>
      </c>
      <c r="G643" t="str">
        <f t="shared" si="64"/>
        <v>Q1</v>
      </c>
      <c r="H643">
        <f>IF(AirQuality[[#This Row],[pm25  (ug/m3)]]&gt;15,1,0)</f>
        <v>1</v>
      </c>
      <c r="I643" t="str">
        <f t="shared" si="65"/>
        <v>unsafe</v>
      </c>
      <c r="J643">
        <f>IF(AirQuality[[#This Row],[Air Quality Status]]="unsafe",J642+1,0)</f>
        <v>9</v>
      </c>
    </row>
    <row r="644" spans="1:10" x14ac:dyDescent="0.3">
      <c r="A644" s="1">
        <v>44998</v>
      </c>
      <c r="B644">
        <v>67</v>
      </c>
      <c r="C644">
        <f t="shared" si="60"/>
        <v>2023</v>
      </c>
      <c r="D644" t="str">
        <f t="shared" si="61"/>
        <v>March</v>
      </c>
      <c r="E644">
        <f t="shared" si="62"/>
        <v>3</v>
      </c>
      <c r="F644" t="str">
        <f t="shared" si="63"/>
        <v>Mar 2023</v>
      </c>
      <c r="G644" t="str">
        <f t="shared" si="64"/>
        <v>Q1</v>
      </c>
      <c r="H644">
        <f>IF(AirQuality[[#This Row],[pm25  (ug/m3)]]&gt;15,1,0)</f>
        <v>1</v>
      </c>
      <c r="I644" t="str">
        <f t="shared" si="65"/>
        <v>unsafe</v>
      </c>
      <c r="J644">
        <f>IF(AirQuality[[#This Row],[Air Quality Status]]="unsafe",J643+1,0)</f>
        <v>10</v>
      </c>
    </row>
    <row r="645" spans="1:10" x14ac:dyDescent="0.3">
      <c r="A645" s="1">
        <v>44999</v>
      </c>
      <c r="B645">
        <v>46</v>
      </c>
      <c r="C645">
        <f t="shared" si="60"/>
        <v>2023</v>
      </c>
      <c r="D645" t="str">
        <f t="shared" si="61"/>
        <v>March</v>
      </c>
      <c r="E645">
        <f t="shared" si="62"/>
        <v>3</v>
      </c>
      <c r="F645" t="str">
        <f t="shared" si="63"/>
        <v>Mar 2023</v>
      </c>
      <c r="G645" t="str">
        <f t="shared" si="64"/>
        <v>Q1</v>
      </c>
      <c r="H645">
        <f>IF(AirQuality[[#This Row],[pm25  (ug/m3)]]&gt;15,1,0)</f>
        <v>1</v>
      </c>
      <c r="I645" t="str">
        <f t="shared" si="65"/>
        <v>unsafe</v>
      </c>
      <c r="J645">
        <f>IF(AirQuality[[#This Row],[Air Quality Status]]="unsafe",J644+1,0)</f>
        <v>11</v>
      </c>
    </row>
    <row r="646" spans="1:10" x14ac:dyDescent="0.3">
      <c r="A646" s="1">
        <v>45000</v>
      </c>
      <c r="B646">
        <v>53</v>
      </c>
      <c r="C646">
        <f t="shared" si="60"/>
        <v>2023</v>
      </c>
      <c r="D646" t="str">
        <f t="shared" si="61"/>
        <v>March</v>
      </c>
      <c r="E646">
        <f t="shared" si="62"/>
        <v>3</v>
      </c>
      <c r="F646" t="str">
        <f t="shared" si="63"/>
        <v>Mar 2023</v>
      </c>
      <c r="G646" t="str">
        <f t="shared" si="64"/>
        <v>Q1</v>
      </c>
      <c r="H646">
        <f>IF(AirQuality[[#This Row],[pm25  (ug/m3)]]&gt;15,1,0)</f>
        <v>1</v>
      </c>
      <c r="I646" t="str">
        <f t="shared" si="65"/>
        <v>unsafe</v>
      </c>
      <c r="J646">
        <f>IF(AirQuality[[#This Row],[Air Quality Status]]="unsafe",J645+1,0)</f>
        <v>12</v>
      </c>
    </row>
    <row r="647" spans="1:10" x14ac:dyDescent="0.3">
      <c r="A647" s="1">
        <v>45001</v>
      </c>
      <c r="B647">
        <v>71</v>
      </c>
      <c r="C647">
        <f t="shared" si="60"/>
        <v>2023</v>
      </c>
      <c r="D647" t="str">
        <f t="shared" si="61"/>
        <v>March</v>
      </c>
      <c r="E647">
        <f t="shared" si="62"/>
        <v>3</v>
      </c>
      <c r="F647" t="str">
        <f t="shared" si="63"/>
        <v>Mar 2023</v>
      </c>
      <c r="G647" t="str">
        <f t="shared" si="64"/>
        <v>Q1</v>
      </c>
      <c r="H647">
        <f>IF(AirQuality[[#This Row],[pm25  (ug/m3)]]&gt;15,1,0)</f>
        <v>1</v>
      </c>
      <c r="I647" t="str">
        <f t="shared" si="65"/>
        <v>unsafe</v>
      </c>
      <c r="J647">
        <f>IF(AirQuality[[#This Row],[Air Quality Status]]="unsafe",J646+1,0)</f>
        <v>13</v>
      </c>
    </row>
    <row r="648" spans="1:10" x14ac:dyDescent="0.3">
      <c r="A648" s="1">
        <v>45002</v>
      </c>
      <c r="B648">
        <v>68</v>
      </c>
      <c r="C648">
        <f t="shared" si="60"/>
        <v>2023</v>
      </c>
      <c r="D648" t="str">
        <f t="shared" si="61"/>
        <v>March</v>
      </c>
      <c r="E648">
        <f t="shared" si="62"/>
        <v>3</v>
      </c>
      <c r="F648" t="str">
        <f t="shared" si="63"/>
        <v>Mar 2023</v>
      </c>
      <c r="G648" t="str">
        <f t="shared" si="64"/>
        <v>Q1</v>
      </c>
      <c r="H648">
        <f>IF(AirQuality[[#This Row],[pm25  (ug/m3)]]&gt;15,1,0)</f>
        <v>1</v>
      </c>
      <c r="I648" t="str">
        <f t="shared" si="65"/>
        <v>unsafe</v>
      </c>
      <c r="J648">
        <f>IF(AirQuality[[#This Row],[Air Quality Status]]="unsafe",J647+1,0)</f>
        <v>14</v>
      </c>
    </row>
    <row r="649" spans="1:10" x14ac:dyDescent="0.3">
      <c r="A649" s="1">
        <v>45003</v>
      </c>
      <c r="B649">
        <v>53</v>
      </c>
      <c r="C649">
        <f t="shared" si="60"/>
        <v>2023</v>
      </c>
      <c r="D649" t="str">
        <f t="shared" si="61"/>
        <v>March</v>
      </c>
      <c r="E649">
        <f t="shared" si="62"/>
        <v>3</v>
      </c>
      <c r="F649" t="str">
        <f t="shared" si="63"/>
        <v>Mar 2023</v>
      </c>
      <c r="G649" t="str">
        <f t="shared" si="64"/>
        <v>Q1</v>
      </c>
      <c r="H649">
        <f>IF(AirQuality[[#This Row],[pm25  (ug/m3)]]&gt;15,1,0)</f>
        <v>1</v>
      </c>
      <c r="I649" t="str">
        <f t="shared" si="65"/>
        <v>unsafe</v>
      </c>
      <c r="J649">
        <f>IF(AirQuality[[#This Row],[Air Quality Status]]="unsafe",J648+1,0)</f>
        <v>15</v>
      </c>
    </row>
    <row r="650" spans="1:10" x14ac:dyDescent="0.3">
      <c r="A650" s="1">
        <v>45004</v>
      </c>
      <c r="B650">
        <v>60</v>
      </c>
      <c r="C650">
        <f t="shared" si="60"/>
        <v>2023</v>
      </c>
      <c r="D650" t="str">
        <f t="shared" si="61"/>
        <v>March</v>
      </c>
      <c r="E650">
        <f t="shared" si="62"/>
        <v>3</v>
      </c>
      <c r="F650" t="str">
        <f t="shared" si="63"/>
        <v>Mar 2023</v>
      </c>
      <c r="G650" t="str">
        <f t="shared" si="64"/>
        <v>Q1</v>
      </c>
      <c r="H650">
        <f>IF(AirQuality[[#This Row],[pm25  (ug/m3)]]&gt;15,1,0)</f>
        <v>1</v>
      </c>
      <c r="I650" t="str">
        <f t="shared" si="65"/>
        <v>unsafe</v>
      </c>
      <c r="J650">
        <f>IF(AirQuality[[#This Row],[Air Quality Status]]="unsafe",J649+1,0)</f>
        <v>16</v>
      </c>
    </row>
    <row r="651" spans="1:10" x14ac:dyDescent="0.3">
      <c r="A651" s="1">
        <v>45005</v>
      </c>
      <c r="B651">
        <v>38</v>
      </c>
      <c r="C651">
        <f t="shared" si="60"/>
        <v>2023</v>
      </c>
      <c r="D651" t="str">
        <f t="shared" si="61"/>
        <v>March</v>
      </c>
      <c r="E651">
        <f t="shared" si="62"/>
        <v>3</v>
      </c>
      <c r="F651" t="str">
        <f t="shared" si="63"/>
        <v>Mar 2023</v>
      </c>
      <c r="G651" t="str">
        <f t="shared" si="64"/>
        <v>Q1</v>
      </c>
      <c r="H651">
        <f>IF(AirQuality[[#This Row],[pm25  (ug/m3)]]&gt;15,1,0)</f>
        <v>1</v>
      </c>
      <c r="I651" t="str">
        <f t="shared" si="65"/>
        <v>unsafe</v>
      </c>
      <c r="J651">
        <f>IF(AirQuality[[#This Row],[Air Quality Status]]="unsafe",J650+1,0)</f>
        <v>17</v>
      </c>
    </row>
    <row r="652" spans="1:10" x14ac:dyDescent="0.3">
      <c r="A652" s="1">
        <v>45006</v>
      </c>
      <c r="B652">
        <v>28</v>
      </c>
      <c r="C652">
        <f t="shared" si="60"/>
        <v>2023</v>
      </c>
      <c r="D652" t="str">
        <f t="shared" si="61"/>
        <v>March</v>
      </c>
      <c r="E652">
        <f t="shared" si="62"/>
        <v>3</v>
      </c>
      <c r="F652" t="str">
        <f t="shared" si="63"/>
        <v>Mar 2023</v>
      </c>
      <c r="G652" t="str">
        <f t="shared" si="64"/>
        <v>Q1</v>
      </c>
      <c r="H652">
        <f>IF(AirQuality[[#This Row],[pm25  (ug/m3)]]&gt;15,1,0)</f>
        <v>1</v>
      </c>
      <c r="I652" t="str">
        <f t="shared" si="65"/>
        <v>unsafe</v>
      </c>
      <c r="J652">
        <f>IF(AirQuality[[#This Row],[Air Quality Status]]="unsafe",J651+1,0)</f>
        <v>18</v>
      </c>
    </row>
    <row r="653" spans="1:10" x14ac:dyDescent="0.3">
      <c r="A653" s="1">
        <v>45007</v>
      </c>
      <c r="B653">
        <v>66</v>
      </c>
      <c r="C653">
        <f t="shared" si="60"/>
        <v>2023</v>
      </c>
      <c r="D653" t="str">
        <f t="shared" si="61"/>
        <v>March</v>
      </c>
      <c r="E653">
        <f t="shared" si="62"/>
        <v>3</v>
      </c>
      <c r="F653" t="str">
        <f t="shared" si="63"/>
        <v>Mar 2023</v>
      </c>
      <c r="G653" t="str">
        <f t="shared" si="64"/>
        <v>Q1</v>
      </c>
      <c r="H653">
        <f>IF(AirQuality[[#This Row],[pm25  (ug/m3)]]&gt;15,1,0)</f>
        <v>1</v>
      </c>
      <c r="I653" t="str">
        <f t="shared" si="65"/>
        <v>unsafe</v>
      </c>
      <c r="J653">
        <f>IF(AirQuality[[#This Row],[Air Quality Status]]="unsafe",J652+1,0)</f>
        <v>19</v>
      </c>
    </row>
    <row r="654" spans="1:10" x14ac:dyDescent="0.3">
      <c r="A654" s="1">
        <v>45008</v>
      </c>
      <c r="B654">
        <v>41</v>
      </c>
      <c r="C654">
        <f t="shared" si="60"/>
        <v>2023</v>
      </c>
      <c r="D654" t="str">
        <f t="shared" si="61"/>
        <v>March</v>
      </c>
      <c r="E654">
        <f t="shared" si="62"/>
        <v>3</v>
      </c>
      <c r="F654" t="str">
        <f t="shared" si="63"/>
        <v>Mar 2023</v>
      </c>
      <c r="G654" t="str">
        <f t="shared" si="64"/>
        <v>Q1</v>
      </c>
      <c r="H654">
        <f>IF(AirQuality[[#This Row],[pm25  (ug/m3)]]&gt;15,1,0)</f>
        <v>1</v>
      </c>
      <c r="I654" t="str">
        <f t="shared" si="65"/>
        <v>unsafe</v>
      </c>
      <c r="J654">
        <f>IF(AirQuality[[#This Row],[Air Quality Status]]="unsafe",J653+1,0)</f>
        <v>20</v>
      </c>
    </row>
    <row r="655" spans="1:10" x14ac:dyDescent="0.3">
      <c r="A655" s="1">
        <v>45009</v>
      </c>
      <c r="B655">
        <v>56</v>
      </c>
      <c r="C655">
        <f t="shared" si="60"/>
        <v>2023</v>
      </c>
      <c r="D655" t="str">
        <f t="shared" si="61"/>
        <v>March</v>
      </c>
      <c r="E655">
        <f t="shared" si="62"/>
        <v>3</v>
      </c>
      <c r="F655" t="str">
        <f t="shared" si="63"/>
        <v>Mar 2023</v>
      </c>
      <c r="G655" t="str">
        <f t="shared" si="64"/>
        <v>Q1</v>
      </c>
      <c r="H655">
        <f>IF(AirQuality[[#This Row],[pm25  (ug/m3)]]&gt;15,1,0)</f>
        <v>1</v>
      </c>
      <c r="I655" t="str">
        <f t="shared" si="65"/>
        <v>unsafe</v>
      </c>
      <c r="J655">
        <f>IF(AirQuality[[#This Row],[Air Quality Status]]="unsafe",J654+1,0)</f>
        <v>21</v>
      </c>
    </row>
    <row r="656" spans="1:10" x14ac:dyDescent="0.3">
      <c r="A656" s="1">
        <v>45010</v>
      </c>
      <c r="B656">
        <v>36</v>
      </c>
      <c r="C656">
        <f t="shared" si="60"/>
        <v>2023</v>
      </c>
      <c r="D656" t="str">
        <f t="shared" si="61"/>
        <v>March</v>
      </c>
      <c r="E656">
        <f t="shared" si="62"/>
        <v>3</v>
      </c>
      <c r="F656" t="str">
        <f t="shared" si="63"/>
        <v>Mar 2023</v>
      </c>
      <c r="G656" t="str">
        <f t="shared" si="64"/>
        <v>Q1</v>
      </c>
      <c r="H656">
        <f>IF(AirQuality[[#This Row],[pm25  (ug/m3)]]&gt;15,1,0)</f>
        <v>1</v>
      </c>
      <c r="I656" t="str">
        <f t="shared" si="65"/>
        <v>unsafe</v>
      </c>
      <c r="J656">
        <f>IF(AirQuality[[#This Row],[Air Quality Status]]="unsafe",J655+1,0)</f>
        <v>22</v>
      </c>
    </row>
    <row r="657" spans="1:10" x14ac:dyDescent="0.3">
      <c r="A657" s="1">
        <v>45011</v>
      </c>
      <c r="B657">
        <v>27</v>
      </c>
      <c r="C657">
        <f t="shared" si="60"/>
        <v>2023</v>
      </c>
      <c r="D657" t="str">
        <f t="shared" si="61"/>
        <v>March</v>
      </c>
      <c r="E657">
        <f t="shared" si="62"/>
        <v>3</v>
      </c>
      <c r="F657" t="str">
        <f t="shared" si="63"/>
        <v>Mar 2023</v>
      </c>
      <c r="G657" t="str">
        <f t="shared" si="64"/>
        <v>Q1</v>
      </c>
      <c r="H657">
        <f>IF(AirQuality[[#This Row],[pm25  (ug/m3)]]&gt;15,1,0)</f>
        <v>1</v>
      </c>
      <c r="I657" t="str">
        <f t="shared" si="65"/>
        <v>unsafe</v>
      </c>
      <c r="J657">
        <f>IF(AirQuality[[#This Row],[Air Quality Status]]="unsafe",J656+1,0)</f>
        <v>23</v>
      </c>
    </row>
    <row r="658" spans="1:10" x14ac:dyDescent="0.3">
      <c r="A658" s="1">
        <v>45012</v>
      </c>
      <c r="B658">
        <v>42</v>
      </c>
      <c r="C658">
        <f t="shared" si="60"/>
        <v>2023</v>
      </c>
      <c r="D658" t="str">
        <f t="shared" si="61"/>
        <v>March</v>
      </c>
      <c r="E658">
        <f t="shared" si="62"/>
        <v>3</v>
      </c>
      <c r="F658" t="str">
        <f t="shared" si="63"/>
        <v>Mar 2023</v>
      </c>
      <c r="G658" t="str">
        <f t="shared" si="64"/>
        <v>Q1</v>
      </c>
      <c r="H658">
        <f>IF(AirQuality[[#This Row],[pm25  (ug/m3)]]&gt;15,1,0)</f>
        <v>1</v>
      </c>
      <c r="I658" t="str">
        <f t="shared" si="65"/>
        <v>unsafe</v>
      </c>
      <c r="J658">
        <f>IF(AirQuality[[#This Row],[Air Quality Status]]="unsafe",J657+1,0)</f>
        <v>24</v>
      </c>
    </row>
    <row r="659" spans="1:10" x14ac:dyDescent="0.3">
      <c r="A659" s="1">
        <v>45013</v>
      </c>
      <c r="B659">
        <v>32</v>
      </c>
      <c r="C659">
        <f t="shared" si="60"/>
        <v>2023</v>
      </c>
      <c r="D659" t="str">
        <f t="shared" si="61"/>
        <v>March</v>
      </c>
      <c r="E659">
        <f t="shared" si="62"/>
        <v>3</v>
      </c>
      <c r="F659" t="str">
        <f t="shared" si="63"/>
        <v>Mar 2023</v>
      </c>
      <c r="G659" t="str">
        <f t="shared" si="64"/>
        <v>Q1</v>
      </c>
      <c r="H659">
        <f>IF(AirQuality[[#This Row],[pm25  (ug/m3)]]&gt;15,1,0)</f>
        <v>1</v>
      </c>
      <c r="I659" t="str">
        <f t="shared" si="65"/>
        <v>unsafe</v>
      </c>
      <c r="J659">
        <f>IF(AirQuality[[#This Row],[Air Quality Status]]="unsafe",J658+1,0)</f>
        <v>25</v>
      </c>
    </row>
    <row r="660" spans="1:10" x14ac:dyDescent="0.3">
      <c r="A660" s="1">
        <v>45014</v>
      </c>
      <c r="B660">
        <v>33</v>
      </c>
      <c r="C660">
        <f t="shared" si="60"/>
        <v>2023</v>
      </c>
      <c r="D660" t="str">
        <f t="shared" si="61"/>
        <v>March</v>
      </c>
      <c r="E660">
        <f t="shared" si="62"/>
        <v>3</v>
      </c>
      <c r="F660" t="str">
        <f t="shared" si="63"/>
        <v>Mar 2023</v>
      </c>
      <c r="G660" t="str">
        <f t="shared" si="64"/>
        <v>Q1</v>
      </c>
      <c r="H660">
        <f>IF(AirQuality[[#This Row],[pm25  (ug/m3)]]&gt;15,1,0)</f>
        <v>1</v>
      </c>
      <c r="I660" t="str">
        <f t="shared" si="65"/>
        <v>unsafe</v>
      </c>
      <c r="J660">
        <f>IF(AirQuality[[#This Row],[Air Quality Status]]="unsafe",J659+1,0)</f>
        <v>26</v>
      </c>
    </row>
    <row r="661" spans="1:10" x14ac:dyDescent="0.3">
      <c r="A661" s="1">
        <v>45015</v>
      </c>
      <c r="B661">
        <v>56</v>
      </c>
      <c r="C661">
        <f t="shared" si="60"/>
        <v>2023</v>
      </c>
      <c r="D661" t="str">
        <f t="shared" si="61"/>
        <v>March</v>
      </c>
      <c r="E661">
        <f t="shared" si="62"/>
        <v>3</v>
      </c>
      <c r="F661" t="str">
        <f t="shared" si="63"/>
        <v>Mar 2023</v>
      </c>
      <c r="G661" t="str">
        <f t="shared" si="64"/>
        <v>Q1</v>
      </c>
      <c r="H661">
        <f>IF(AirQuality[[#This Row],[pm25  (ug/m3)]]&gt;15,1,0)</f>
        <v>1</v>
      </c>
      <c r="I661" t="str">
        <f t="shared" si="65"/>
        <v>unsafe</v>
      </c>
      <c r="J661">
        <f>IF(AirQuality[[#This Row],[Air Quality Status]]="unsafe",J660+1,0)</f>
        <v>27</v>
      </c>
    </row>
    <row r="662" spans="1:10" x14ac:dyDescent="0.3">
      <c r="A662" s="1">
        <v>45016</v>
      </c>
      <c r="B662">
        <v>73</v>
      </c>
      <c r="C662">
        <f t="shared" si="60"/>
        <v>2023</v>
      </c>
      <c r="D662" t="str">
        <f t="shared" si="61"/>
        <v>March</v>
      </c>
      <c r="E662">
        <f t="shared" si="62"/>
        <v>3</v>
      </c>
      <c r="F662" t="str">
        <f t="shared" si="63"/>
        <v>Mar 2023</v>
      </c>
      <c r="G662" t="str">
        <f t="shared" si="64"/>
        <v>Q1</v>
      </c>
      <c r="H662">
        <f>IF(AirQuality[[#This Row],[pm25  (ug/m3)]]&gt;15,1,0)</f>
        <v>1</v>
      </c>
      <c r="I662" t="str">
        <f t="shared" si="65"/>
        <v>unsafe</v>
      </c>
      <c r="J662">
        <f>IF(AirQuality[[#This Row],[Air Quality Status]]="unsafe",J661+1,0)</f>
        <v>28</v>
      </c>
    </row>
    <row r="663" spans="1:10" x14ac:dyDescent="0.3">
      <c r="A663" s="1">
        <v>45017</v>
      </c>
      <c r="B663">
        <v>64</v>
      </c>
      <c r="C663">
        <f t="shared" si="60"/>
        <v>2023</v>
      </c>
      <c r="D663" t="str">
        <f t="shared" si="61"/>
        <v>April</v>
      </c>
      <c r="E663">
        <f t="shared" si="62"/>
        <v>4</v>
      </c>
      <c r="F663" t="str">
        <f t="shared" si="63"/>
        <v>Apr 2023</v>
      </c>
      <c r="G663" t="str">
        <f t="shared" si="64"/>
        <v>Q2</v>
      </c>
      <c r="H663">
        <f>IF(AirQuality[[#This Row],[pm25  (ug/m3)]]&gt;15,1,0)</f>
        <v>1</v>
      </c>
      <c r="I663" t="str">
        <f t="shared" si="65"/>
        <v>unsafe</v>
      </c>
      <c r="J663">
        <f>IF(AirQuality[[#This Row],[Air Quality Status]]="unsafe",J662+1,0)</f>
        <v>29</v>
      </c>
    </row>
    <row r="664" spans="1:10" x14ac:dyDescent="0.3">
      <c r="A664" s="1">
        <v>45018</v>
      </c>
      <c r="B664">
        <v>53</v>
      </c>
      <c r="C664">
        <f t="shared" si="60"/>
        <v>2023</v>
      </c>
      <c r="D664" t="str">
        <f t="shared" si="61"/>
        <v>April</v>
      </c>
      <c r="E664">
        <f t="shared" si="62"/>
        <v>4</v>
      </c>
      <c r="F664" t="str">
        <f t="shared" si="63"/>
        <v>Apr 2023</v>
      </c>
      <c r="G664" t="str">
        <f t="shared" si="64"/>
        <v>Q2</v>
      </c>
      <c r="H664">
        <f>IF(AirQuality[[#This Row],[pm25  (ug/m3)]]&gt;15,1,0)</f>
        <v>1</v>
      </c>
      <c r="I664" t="str">
        <f t="shared" si="65"/>
        <v>unsafe</v>
      </c>
      <c r="J664">
        <f>IF(AirQuality[[#This Row],[Air Quality Status]]="unsafe",J663+1,0)</f>
        <v>30</v>
      </c>
    </row>
    <row r="665" spans="1:10" x14ac:dyDescent="0.3">
      <c r="A665" s="1">
        <v>45019</v>
      </c>
      <c r="B665">
        <v>60</v>
      </c>
      <c r="C665">
        <f t="shared" si="60"/>
        <v>2023</v>
      </c>
      <c r="D665" t="str">
        <f t="shared" si="61"/>
        <v>April</v>
      </c>
      <c r="E665">
        <f t="shared" si="62"/>
        <v>4</v>
      </c>
      <c r="F665" t="str">
        <f t="shared" si="63"/>
        <v>Apr 2023</v>
      </c>
      <c r="G665" t="str">
        <f t="shared" si="64"/>
        <v>Q2</v>
      </c>
      <c r="H665">
        <f>IF(AirQuality[[#This Row],[pm25  (ug/m3)]]&gt;15,1,0)</f>
        <v>1</v>
      </c>
      <c r="I665" t="str">
        <f t="shared" si="65"/>
        <v>unsafe</v>
      </c>
      <c r="J665">
        <f>IF(AirQuality[[#This Row],[Air Quality Status]]="unsafe",J664+1,0)</f>
        <v>31</v>
      </c>
    </row>
    <row r="666" spans="1:10" x14ac:dyDescent="0.3">
      <c r="A666" s="1">
        <v>45020</v>
      </c>
      <c r="B666">
        <v>98</v>
      </c>
      <c r="C666">
        <f t="shared" si="60"/>
        <v>2023</v>
      </c>
      <c r="D666" t="str">
        <f t="shared" si="61"/>
        <v>April</v>
      </c>
      <c r="E666">
        <f t="shared" si="62"/>
        <v>4</v>
      </c>
      <c r="F666" t="str">
        <f t="shared" si="63"/>
        <v>Apr 2023</v>
      </c>
      <c r="G666" t="str">
        <f t="shared" si="64"/>
        <v>Q2</v>
      </c>
      <c r="H666">
        <f>IF(AirQuality[[#This Row],[pm25  (ug/m3)]]&gt;15,1,0)</f>
        <v>1</v>
      </c>
      <c r="I666" t="str">
        <f t="shared" si="65"/>
        <v>unsafe</v>
      </c>
      <c r="J666">
        <f>IF(AirQuality[[#This Row],[Air Quality Status]]="unsafe",J665+1,0)</f>
        <v>32</v>
      </c>
    </row>
  </sheetData>
  <sortState xmlns:xlrd2="http://schemas.microsoft.com/office/spreadsheetml/2017/richdata2" ref="A2:B666">
    <sortCondition ref="A1:A666"/>
  </sortState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ADBF3-E903-4F47-A514-844B0EF96F91}">
  <dimension ref="L14"/>
  <sheetViews>
    <sheetView tabSelected="1" workbookViewId="0">
      <selection activeCell="L14" sqref="L14"/>
    </sheetView>
  </sheetViews>
  <sheetFormatPr defaultRowHeight="14.4" x14ac:dyDescent="0.3"/>
  <sheetData>
    <row r="14" spans="12:12" x14ac:dyDescent="0.3">
      <c r="L14" s="32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A134-448A-4C42-A40A-8D6053CE9210}">
  <dimension ref="A1"/>
  <sheetViews>
    <sheetView showGridLines="0" topLeftCell="A9" zoomScale="33" zoomScaleNormal="16" workbookViewId="0">
      <selection activeCell="AT15" sqref="AT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5C0C-748F-422F-8F9E-55F2A2B72603}">
  <dimension ref="X16:X20"/>
  <sheetViews>
    <sheetView showGridLines="0" zoomScale="73" zoomScaleNormal="90" workbookViewId="0">
      <selection activeCell="D3" sqref="D3:U43"/>
    </sheetView>
  </sheetViews>
  <sheetFormatPr defaultRowHeight="14.4" x14ac:dyDescent="0.3"/>
  <cols>
    <col min="1" max="16384" width="8.88671875" style="31"/>
  </cols>
  <sheetData>
    <row r="16" spans="24:24" x14ac:dyDescent="0.3">
      <c r="X16" s="31" t="s">
        <v>58</v>
      </c>
    </row>
    <row r="20" spans="24:24" x14ac:dyDescent="0.3">
      <c r="X20" s="31" t="s">
        <v>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</vt:lpstr>
      <vt:lpstr>Air Quality Data Lagos</vt:lpstr>
      <vt:lpstr>Sheet1</vt:lpstr>
      <vt:lpstr>DASHBOARD</vt:lpstr>
      <vt:lpstr>1st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Taiwo Aniemeke</cp:lastModifiedBy>
  <dcterms:created xsi:type="dcterms:W3CDTF">2026-01-30T20:26:27Z</dcterms:created>
  <dcterms:modified xsi:type="dcterms:W3CDTF">2026-04-01T09:33:08Z</dcterms:modified>
</cp:coreProperties>
</file>